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Inventory_Master" sheetId="2" state="visible" r:id="rId2"/>
    <sheet name="Power_Rails" sheetId="3" state="visible" r:id="rId3"/>
    <sheet name="Laboratory_Workflow" sheetId="4" state="visible" r:id="rId4"/>
    <sheet name="Missing_or_Recommended" sheetId="5" state="visible" r:id="rId5"/>
    <sheet name="Lists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₪#,##0.00"/>
  </numFmts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name val="Calibri"/>
      <sz val="11"/>
    </font>
    <font>
      <color rgb="000000FF"/>
    </font>
    <font>
      <i val="1"/>
      <color rgb="00666666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FFF2CC"/>
      </patternFill>
    </fill>
    <fill>
      <patternFill patternType="solid">
        <fgColor rgb="00D9F0EE"/>
      </patternFill>
    </fill>
  </fills>
  <borders count="3">
    <border>
      <left/>
      <right/>
      <top/>
      <bottom/>
      <diagonal/>
    </border>
    <border>
      <bottom style="thin">
        <color rgb="009E9E9E"/>
      </bottom>
    </border>
    <border>
      <bottom style="medium">
        <color rgb="001F4E7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" fontId="4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2" fontId="6" fillId="0" borderId="2" applyAlignment="1" pivotButton="0" quotePrefix="0" xfId="0">
      <alignment vertical="top" wrapText="1"/>
    </xf>
    <xf numFmtId="2" fontId="4" fillId="4" borderId="0" applyAlignment="1" pivotButton="0" quotePrefix="0" xfId="0">
      <alignment vertical="top" wrapText="1"/>
    </xf>
  </cellXfs>
  <cellStyles count="1">
    <cellStyle name="Normal" xfId="0"/>
  </cellStyles>
  <dxfs count="4">
    <dxf>
      <fill>
        <patternFill>
          <bgColor rgb="00FDE9E7"/>
        </patternFill>
      </fill>
    </dxf>
    <dxf>
      <fill>
        <patternFill>
          <bgColor rgb="00FCE4D6"/>
        </patternFill>
      </fill>
    </dxf>
    <dxf>
      <fill>
        <patternFill>
          <bgColor rgb="00E7E6E6"/>
        </patternFill>
      </fill>
    </dxf>
    <dxf>
      <fill>
        <patternFill>
          <bgColor rgb="00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Компоненты по фазам</a:t>
            </a:r>
          </a:p>
        </rich>
      </tx>
      <overlay val="0"/>
      <txPr>
        <a:bodyPr anchorCtr="1"/>
        <a:lstStyle/>
        <a:p>
          <a:pPr>
            <a:defRPr/>
          </a:pPr>
          <a:r>
            <a:t/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'Dashboard'!H5</f>
              <strCache>
                <ptCount val="1"/>
                <pt idx="0">
                  <v>None</v>
                </pt>
              </strCache>
            </strRef>
          </tx>
          <spPr>
            <a:ln>
              <a:prstDash val="solid"/>
            </a:ln>
          </spPr>
          <cat>
            <strRef>
              <f>'Dashboard'!$G$6:$G$9</f>
              <strCache>
                <ptCount val="0"/>
              </strCache>
            </strRef>
          </cat>
          <val>
            <numRef>
              <f>'Dashboard'!$H$6:$H$9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title>
          <tx>
            <rich>
              <a:bodyPr/>
              <a:lstStyle/>
              <a:p>
                <a:r>
                  <a:rPr/>
                  <a:t>Фаза</a:t>
                </a:r>
              </a:p>
            </rich>
          </tx>
        </title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title>
          <tx>
            <rich>
              <a:bodyPr/>
              <a:lstStyle/>
              <a:p>
                <a:r>
                  <a:rPr/>
                  <a:t>Количество</a:t>
                </a:r>
              </a:p>
            </rich>
          </tx>
        </title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Файл задуман как основной источник данных по складу мастерской и по аппаратным узлам проекта.</t>
      </text>
    </comment>
    <comment ref="P2" authorId="0" shapeId="0">
      <text>
        <t>Поле для быстрой фильтрации: Да / Нет / Исследовать / Позже</t>
      </text>
    </comment>
    <comment ref="R2" authorId="0" shapeId="0">
      <text>
        <t>Обновляй по результату реальной проверки модуля: Не тестировалось / Частично / ОК / Проблема</t>
      </text>
    </comment>
    <comment ref="D4" authorId="0" shapeId="0">
      <text>
        <t>TFmini Plus уже отмечен как проблемный инженерный кейс — стоит вести его отдельно в тестах.</t>
      </text>
    </comment>
    <comment ref="D6" authorId="0" shapeId="0">
      <text>
        <t>У тебя модульная версия DHT22 / AM2302, это упрощает подключение.</t>
      </text>
    </comment>
    <comment ref="D27" authorId="0" shapeId="0">
      <text>
        <t>Лабораторник теперь главный источник для bring-up и диагностики.</t>
      </text>
    </comment>
    <comment ref="D28" authorId="0" shapeId="0">
      <text>
        <t>LiFePO4 + BMS меняет архитектуру: это уже полноценный силовой контур, а не только powerbank.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19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Inventory" displayName="tblInventory" ref="A2:T33" headerRowCount="1">
  <autoFilter ref="A2:T33"/>
  <tableColumns count="20">
    <tableColumn id="1" name="ID"/>
    <tableColumn id="2" name="Источник"/>
    <tableColumn id="3" name="Группа"/>
    <tableColumn id="4" name="Компонент"/>
    <tableColumn id="5" name="Модель / описание"/>
    <tableColumn id="6" name="Интерфейс / pinout"/>
    <tableColumn id="7" name="Роль в проекте"/>
    <tableColumn id="8" name="Приоритет"/>
    <tableColumn id="9" name="Фаза"/>
    <tableColumn id="10" name="Статус"/>
    <tableColumn id="11" name="Кол-во"/>
    <tableColumn id="12" name="Ед."/>
    <tableColumn id="13" name="Цена (₪)"/>
    <tableColumn id="14" name="Питание / уровень"/>
    <tableColumn id="15" name="Узел / владелец"/>
    <tableColumn id="16" name="Для Rev1"/>
    <tableColumn id="17" name="Локация"/>
    <tableColumn id="18" name="Тест"/>
    <tableColumn id="19" name="Рекомендуемое действие"/>
    <tableColumn id="20" name="Примечание"/>
  </tableColumns>
  <tableStyleInfo name="TableStyleMedium2" showRowStripes="1"/>
</table>
</file>

<file path=xl/tables/table2.xml><?xml version="1.0" encoding="utf-8"?>
<table xmlns="http://schemas.openxmlformats.org/spreadsheetml/2006/main" id="2" name="tblPowerRails" displayName="tblPowerRails" ref="A2:F10" headerRowCount="1">
  <autoFilter ref="A2:F10"/>
  <tableColumns count="6">
    <tableColumn id="1" name="Рельс"/>
    <tableColumn id="2" name="Номинал"/>
    <tableColumn id="3" name="Источник"/>
    <tableColumn id="4" name="Тип нагрузки"/>
    <tableColumn id="5" name="Потребители"/>
    <tableColumn id="6" name="Примечание"/>
  </tableColumns>
  <tableStyleInfo name="TableStyleMedium9" showRowStripes="1"/>
</table>
</file>

<file path=xl/tables/table3.xml><?xml version="1.0" encoding="utf-8"?>
<table xmlns="http://schemas.openxmlformats.org/spreadsheetml/2006/main" id="3" name="tblLabWorkflow" displayName="tblLabWorkflow" ref="A2:E9" headerRowCount="1">
  <autoFilter ref="A2:E9"/>
  <tableColumns count="5">
    <tableColumn id="1" name="Шаг"/>
    <tableColumn id="2" name="Цель"/>
    <tableColumn id="3" name="Что записать в Inventory"/>
    <tableColumn id="4" name="Правило безопасности"/>
    <tableColumn id="5" name="Результат"/>
  </tableColumns>
  <tableStyleInfo name="TableStyleMedium4" showRowStripes="1"/>
</table>
</file>

<file path=xl/tables/table4.xml><?xml version="1.0" encoding="utf-8"?>
<table xmlns="http://schemas.openxmlformats.org/spreadsheetml/2006/main" id="4" name="tblMissing" displayName="tblMissing" ref="A2:E7" headerRowCount="1">
  <autoFilter ref="A2:E7"/>
  <tableColumns count="5">
    <tableColumn id="1" name="Компонент"/>
    <tableColumn id="2" name="Почему нужен"/>
    <tableColumn id="3" name="Для какого каскада"/>
    <tableColumn id="4" name="Приоритет"/>
    <tableColumn id="5" name="Статус"/>
  </tableColumns>
  <tableStyleInfo name="TableStyleMedium6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4" max="4"/>
    <col width="24" customWidth="1" min="5" max="5"/>
    <col width="28" customWidth="1" min="7" max="7"/>
    <col width="12" customWidth="1" min="8" max="8"/>
  </cols>
  <sheetData>
    <row r="1">
      <c r="A1" s="1" t="inlineStr">
        <is>
          <t>Smart Platform — обзор склада и аппаратной платформы</t>
        </is>
      </c>
    </row>
    <row r="2">
      <c r="A2" s="2" t="inlineStr">
        <is>
          <t>Дата обновления: 2026-04-17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Всего позиций</t>
        </is>
      </c>
      <c r="B4" s="5">
        <f>COUNTA(Inventory_Master!A:A)-2</f>
        <v/>
      </c>
      <c r="C4" s="3" t="n"/>
      <c r="D4" s="4" t="inlineStr">
        <is>
          <t>Подтверждено</t>
        </is>
      </c>
      <c r="E4" s="5">
        <f>COUNTIF(Inventory_Master!J:J,"Подтверждено")</f>
        <v/>
      </c>
      <c r="F4" s="3" t="n"/>
      <c r="G4" s="4" t="inlineStr">
        <is>
          <t>Сводка по фазам</t>
        </is>
      </c>
      <c r="H4" s="3" t="n"/>
    </row>
    <row r="5">
      <c r="A5" s="3" t="n"/>
      <c r="B5" s="3" t="n"/>
      <c r="C5" s="3" t="n"/>
      <c r="D5" s="3" t="n"/>
      <c r="E5" s="3" t="n"/>
      <c r="F5" s="3" t="n"/>
      <c r="G5" s="6" t="inlineStr">
        <is>
          <t>Фаза</t>
        </is>
      </c>
      <c r="H5" s="6" t="inlineStr">
        <is>
          <t>Кол-во</t>
        </is>
      </c>
    </row>
    <row r="6">
      <c r="A6" s="3" t="n"/>
      <c r="B6" s="3" t="n"/>
      <c r="C6" s="3" t="n"/>
      <c r="D6" s="3" t="n"/>
      <c r="E6" s="3" t="n"/>
      <c r="F6" s="3" t="n"/>
      <c r="G6" s="3" t="inlineStr">
        <is>
          <t>Ядро Rev1</t>
        </is>
      </c>
      <c r="H6" s="3">
        <f>COUNTIF(Inventory_Master!I:I,G6)</f>
        <v/>
      </c>
    </row>
    <row r="7">
      <c r="A7" s="4" t="inlineStr">
        <is>
          <t>Нужно уточнить</t>
        </is>
      </c>
      <c r="B7" s="5">
        <f>COUNTIF(Inventory_Master!J:J,"Нужно уточнить")</f>
        <v/>
      </c>
      <c r="C7" s="3" t="n"/>
      <c r="D7" s="4" t="inlineStr">
        <is>
          <t>Под вопросом</t>
        </is>
      </c>
      <c r="E7" s="5">
        <f>COUNTIF(Inventory_Master!J:J,"Под вопросом")</f>
        <v/>
      </c>
      <c r="F7" s="3" t="n"/>
      <c r="G7" s="3" t="inlineStr">
        <is>
          <t>Laboratory / исследование</t>
        </is>
      </c>
      <c r="H7" s="3">
        <f>COUNTIF(Inventory_Master!I:I,G7)</f>
        <v/>
      </c>
    </row>
    <row r="8">
      <c r="A8" s="3" t="n"/>
      <c r="B8" s="3" t="n"/>
      <c r="C8" s="3" t="n"/>
      <c r="D8" s="3" t="n"/>
      <c r="E8" s="3" t="n"/>
      <c r="F8" s="3" t="n"/>
      <c r="G8" s="3" t="inlineStr">
        <is>
          <t>Поздний силовой каскад</t>
        </is>
      </c>
      <c r="H8" s="3">
        <f>COUNTIF(Inventory_Master!I:I,G8)</f>
        <v/>
      </c>
    </row>
    <row r="9">
      <c r="A9" s="3" t="n"/>
      <c r="B9" s="3" t="n"/>
      <c r="C9" s="3" t="n"/>
      <c r="D9" s="3" t="n"/>
      <c r="E9" s="3" t="n"/>
      <c r="F9" s="3" t="n"/>
      <c r="G9" s="3" t="inlineStr">
        <is>
          <t>Инфраструктура</t>
        </is>
      </c>
      <c r="H9" s="3">
        <f>COUNTIF(Inventory_Master!I:I,G9)</f>
        <v/>
      </c>
    </row>
    <row r="10">
      <c r="A10" s="4" t="inlineStr">
        <is>
          <t>Ядро Rev1</t>
        </is>
      </c>
      <c r="B10" s="5">
        <f>COUNTIF(Inventory_Master!I:I,"Ядро Rev1")</f>
        <v/>
      </c>
      <c r="C10" s="3" t="n"/>
      <c r="D10" s="4" t="inlineStr">
        <is>
          <t>Laboratory / исследование</t>
        </is>
      </c>
      <c r="E10" s="5">
        <f>COUNTIF(Inventory_Master!I:I,"Laboratory / исследование")</f>
        <v/>
      </c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4" t="inlineStr">
        <is>
          <t>Сводка по статусам</t>
        </is>
      </c>
      <c r="H12" s="3" t="n"/>
    </row>
    <row r="13">
      <c r="A13" s="4" t="inlineStr">
        <is>
          <t>Поздний силовой каскад</t>
        </is>
      </c>
      <c r="B13" s="5">
        <f>COUNTIF(Inventory_Master!I:I,"Поздний силовой каскад")</f>
        <v/>
      </c>
      <c r="C13" s="3" t="n"/>
      <c r="D13" s="4" t="inlineStr">
        <is>
          <t>Инфраструктура</t>
        </is>
      </c>
      <c r="E13" s="5">
        <f>COUNTIF(Inventory_Master!I:I,"Инфраструктура")</f>
        <v/>
      </c>
      <c r="F13" s="3" t="n"/>
      <c r="G13" s="6" t="inlineStr">
        <is>
          <t>Статус</t>
        </is>
      </c>
      <c r="H13" s="6" t="inlineStr">
        <is>
          <t>Кол-во</t>
        </is>
      </c>
    </row>
    <row r="14">
      <c r="A14" s="3" t="n"/>
      <c r="B14" s="3" t="n"/>
      <c r="C14" s="3" t="n"/>
      <c r="D14" s="3" t="n"/>
      <c r="E14" s="3" t="n"/>
      <c r="F14" s="3" t="n"/>
      <c r="G14" s="3" t="inlineStr">
        <is>
          <t>Подтверждено</t>
        </is>
      </c>
      <c r="H14" s="3">
        <f>COUNTIF(Inventory_Master!J:J,G14)</f>
        <v/>
      </c>
    </row>
    <row r="15">
      <c r="A15" s="3" t="n"/>
      <c r="B15" s="3" t="n"/>
      <c r="C15" s="3" t="n"/>
      <c r="D15" s="3" t="n"/>
      <c r="E15" s="3" t="n"/>
      <c r="F15" s="3" t="n"/>
      <c r="G15" s="3" t="inlineStr">
        <is>
          <t>Нужно уточнить</t>
        </is>
      </c>
      <c r="H15" s="3">
        <f>COUNTIF(Inventory_Master!J:J,G15)</f>
        <v/>
      </c>
    </row>
    <row r="16">
      <c r="A16" s="4" t="inlineStr">
        <is>
          <t>Позиции Для Rev1 = Да</t>
        </is>
      </c>
      <c r="B16" s="5">
        <f>COUNTIF(Inventory_Master!P:P,"Да")</f>
        <v/>
      </c>
      <c r="C16" s="3" t="n"/>
      <c r="D16" s="4" t="inlineStr">
        <is>
          <t>Сумма известных покупок (₪)</t>
        </is>
      </c>
      <c r="E16" s="12">
        <f>SUM(Inventory_Master!M:M)</f>
        <v/>
      </c>
      <c r="F16" s="3" t="n"/>
      <c r="G16" s="3" t="inlineStr">
        <is>
          <t>Под вопросом</t>
        </is>
      </c>
      <c r="H16" s="3">
        <f>COUNTIF(Inventory_Master!J:J,G16)</f>
        <v/>
      </c>
    </row>
    <row r="17">
      <c r="A17" s="3" t="n"/>
      <c r="B17" s="3" t="n"/>
      <c r="C17" s="3" t="n"/>
      <c r="D17" s="3" t="n"/>
      <c r="E17" s="3" t="n"/>
      <c r="F17" s="3" t="n"/>
      <c r="G17" s="3" t="inlineStr">
        <is>
          <t>Отложено</t>
        </is>
      </c>
      <c r="H17" s="3">
        <f>COUNTIF(Inventory_Master!J:J,G17)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4" t="inlineStr">
        <is>
          <t>Ключевые принципы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• Этот файл предназначен как источник правды по складу мастерской и аппаратной платформе проекта.</t>
        </is>
      </c>
      <c r="B29" s="3" t="n"/>
      <c r="C29" s="3" t="n"/>
      <c r="D29" s="3" t="n"/>
      <c r="E29" s="3" t="n"/>
      <c r="F29" s="3" t="n"/>
      <c r="G29" s="3" t="n"/>
      <c r="H29" s="3" t="n"/>
    </row>
    <row r="30">
      <c r="A30" s="3" t="inlineStr">
        <is>
          <t>• Для bench bring-up основной источник питания — лабораторник NICE-POWER.</t>
        </is>
      </c>
      <c r="B30" s="3" t="n"/>
      <c r="C30" s="3" t="n"/>
      <c r="D30" s="3" t="n"/>
      <c r="E30" s="3" t="n"/>
      <c r="F30" s="3" t="n"/>
      <c r="G30" s="3" t="n"/>
      <c r="H30" s="3" t="n"/>
    </row>
    <row r="31">
      <c r="A31" s="3" t="inlineStr">
        <is>
          <t>• LiFePO4 12V 100Ah — основа автономного силового контура.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3" t="inlineStr">
        <is>
          <t>• Zener kit полезен, но не заменяет силовые flyback-диоды для насосов, клапанов и катушек.</t>
        </is>
      </c>
      <c r="B32" s="3" t="n"/>
      <c r="C32" s="3" t="n"/>
      <c r="D32" s="3" t="n"/>
      <c r="E32" s="3" t="n"/>
      <c r="F32" s="3" t="n"/>
      <c r="G32" s="3" t="n"/>
      <c r="H32" s="3" t="n"/>
    </row>
    <row r="33">
      <c r="A33" s="3" t="inlineStr">
        <is>
          <t>• Laboratory должна уметь тестировать даже внеплановые / неизвестные модули.</t>
        </is>
      </c>
      <c r="B33" s="3" t="n"/>
      <c r="C33" s="3" t="n"/>
      <c r="D33" s="3" t="n"/>
      <c r="E33" s="3" t="n"/>
      <c r="F33" s="3" t="n"/>
      <c r="G33" s="3" t="n"/>
      <c r="H33" s="3" t="n"/>
    </row>
    <row r="34">
      <c r="A34" t="inlineStr">
        <is>
          <t>• ESP32 SD module — это расширение хранения и точка резервного приема turret-файлов при синхронизации.</t>
        </is>
      </c>
    </row>
    <row r="35"/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20" customWidth="1" min="4" max="4"/>
    <col width="34" customWidth="1" min="5" max="5"/>
    <col width="26" customWidth="1" min="6" max="6"/>
    <col width="28" customWidth="1" min="7" max="7"/>
    <col width="14" customWidth="1" min="8" max="8"/>
    <col width="24" customWidth="1" min="9" max="9"/>
    <col width="16" customWidth="1" min="10" max="10"/>
    <col width="9" customWidth="1" min="11" max="11"/>
    <col width="7" customWidth="1" min="12" max="12"/>
    <col width="12" customWidth="1" min="13" max="13"/>
    <col width="21" customWidth="1" min="14" max="14"/>
    <col width="16" customWidth="1" min="15" max="15"/>
    <col width="12" customWidth="1" min="16" max="16"/>
    <col width="16" customWidth="1" min="17" max="17"/>
    <col width="16" customWidth="1" min="18" max="18"/>
    <col width="28" customWidth="1" min="19" max="19"/>
    <col width="28" customWidth="1" min="20" max="20"/>
  </cols>
  <sheetData>
    <row r="1" ht="24" customHeight="1">
      <c r="A1" s="1" t="inlineStr">
        <is>
          <t>Smart Platform — мастерская и склад компонентов</t>
        </is>
      </c>
    </row>
    <row r="2" ht="34" customHeight="1">
      <c r="A2" s="7" t="inlineStr">
        <is>
          <t>ID</t>
        </is>
      </c>
      <c r="B2" s="7" t="inlineStr">
        <is>
          <t>Источник</t>
        </is>
      </c>
      <c r="C2" s="7" t="inlineStr">
        <is>
          <t>Группа</t>
        </is>
      </c>
      <c r="D2" s="7" t="inlineStr">
        <is>
          <t>Компонент</t>
        </is>
      </c>
      <c r="E2" s="7" t="inlineStr">
        <is>
          <t>Модель / описание</t>
        </is>
      </c>
      <c r="F2" s="7" t="inlineStr">
        <is>
          <t>Интерфейс / pinout</t>
        </is>
      </c>
      <c r="G2" s="7" t="inlineStr">
        <is>
          <t>Роль в проекте</t>
        </is>
      </c>
      <c r="H2" s="7" t="inlineStr">
        <is>
          <t>Приоритет</t>
        </is>
      </c>
      <c r="I2" s="7" t="inlineStr">
        <is>
          <t>Фаза</t>
        </is>
      </c>
      <c r="J2" s="7" t="inlineStr">
        <is>
          <t>Статус</t>
        </is>
      </c>
      <c r="K2" s="7" t="inlineStr">
        <is>
          <t>Кол-во</t>
        </is>
      </c>
      <c r="L2" s="7" t="inlineStr">
        <is>
          <t>Ед.</t>
        </is>
      </c>
      <c r="M2" s="7" t="inlineStr">
        <is>
          <t>Цена (₪)</t>
        </is>
      </c>
      <c r="N2" s="7" t="inlineStr">
        <is>
          <t>Питание / уровень</t>
        </is>
      </c>
      <c r="O2" s="7" t="inlineStr">
        <is>
          <t>Узел / владелец</t>
        </is>
      </c>
      <c r="P2" s="7" t="inlineStr">
        <is>
          <t>Для Rev1</t>
        </is>
      </c>
      <c r="Q2" s="7" t="inlineStr">
        <is>
          <t>Локация</t>
        </is>
      </c>
      <c r="R2" s="7" t="inlineStr">
        <is>
          <t>Тест</t>
        </is>
      </c>
      <c r="S2" s="7" t="inlineStr">
        <is>
          <t>Рекомендуемое действие</t>
        </is>
      </c>
      <c r="T2" s="7" t="inlineStr">
        <is>
          <t>Примечание</t>
        </is>
      </c>
    </row>
    <row r="3" ht="36" customHeight="1">
      <c r="A3" s="8" t="n">
        <v>1</v>
      </c>
      <c r="B3" s="8" t="inlineStr">
        <is>
          <t>Фото 21</t>
        </is>
      </c>
      <c r="C3" s="8" t="inlineStr">
        <is>
          <t>Контроллер</t>
        </is>
      </c>
      <c r="D3" s="8" t="inlineStr">
        <is>
          <t>Raspberry Pi 5</t>
        </is>
      </c>
      <c r="E3" s="8" t="inlineStr">
        <is>
          <t>Raspberry Pi 5</t>
        </is>
      </c>
      <c r="F3" s="8" t="inlineStr">
        <is>
          <t>40-pin GPIO, CSI/DSI, USB, Ethernet</t>
        </is>
      </c>
      <c r="G3" s="8" t="inlineStr">
        <is>
          <t>Главный owner-узел турели / UI / камера / дальномер</t>
        </is>
      </c>
      <c r="H3" s="8" t="inlineStr">
        <is>
          <t>Очень высокий</t>
        </is>
      </c>
      <c r="I3" s="8" t="inlineStr">
        <is>
          <t>Ядро Rev1</t>
        </is>
      </c>
      <c r="J3" s="8" t="inlineStr">
        <is>
          <t>Подтверждено</t>
        </is>
      </c>
      <c r="K3" s="9" t="n">
        <v>1</v>
      </c>
      <c r="L3" s="8" t="inlineStr">
        <is>
          <t>шт</t>
        </is>
      </c>
      <c r="M3" s="13" t="n"/>
      <c r="N3" s="8" t="inlineStr">
        <is>
          <t>5V логика / внешнее питание</t>
        </is>
      </c>
      <c r="O3" s="8" t="inlineStr">
        <is>
          <t>Raspberry Pi</t>
        </is>
      </c>
      <c r="P3" s="8" t="inlineStr">
        <is>
          <t>Да</t>
        </is>
      </c>
      <c r="Q3" s="10" t="inlineStr"/>
      <c r="R3" s="10" t="inlineStr">
        <is>
          <t>Не тестировалось</t>
        </is>
      </c>
      <c r="S3" s="10" t="inlineStr">
        <is>
          <t>Подготовить bench bring-up и карту GPIO</t>
        </is>
      </c>
      <c r="T3" s="10" t="inlineStr">
        <is>
          <t>Главная плата для turret-side</t>
        </is>
      </c>
    </row>
    <row r="4" ht="36" customHeight="1">
      <c r="A4" s="8" t="n">
        <v>2</v>
      </c>
      <c r="B4" s="8" t="inlineStr">
        <is>
          <t>Фото 22</t>
        </is>
      </c>
      <c r="C4" s="8" t="inlineStr">
        <is>
          <t>Контроллер</t>
        </is>
      </c>
      <c r="D4" s="8" t="inlineStr">
        <is>
          <t>ESP32 Dev Board</t>
        </is>
      </c>
      <c r="E4" s="8" t="inlineStr">
        <is>
          <t>ESP32-WROOM-32, 30-pin, USB-C, HW-394-type</t>
        </is>
      </c>
      <c r="F4" s="8" t="inlineStr">
        <is>
          <t>VIN/GND + GPIO, ADC, UART, I2C, SPI</t>
        </is>
      </c>
      <c r="G4" s="8" t="inlineStr">
        <is>
          <t>Owner-узел полива / сенсоры / локальная автоматика</t>
        </is>
      </c>
      <c r="H4" s="8" t="inlineStr">
        <is>
          <t>Очень высокий</t>
        </is>
      </c>
      <c r="I4" s="8" t="inlineStr">
        <is>
          <t>Ядро Rev1</t>
        </is>
      </c>
      <c r="J4" s="8" t="inlineStr">
        <is>
          <t>Подтверждено</t>
        </is>
      </c>
      <c r="K4" s="9" t="n">
        <v>1</v>
      </c>
      <c r="L4" s="8" t="inlineStr">
        <is>
          <t>шт</t>
        </is>
      </c>
      <c r="M4" s="13" t="n"/>
      <c r="N4" s="8" t="inlineStr">
        <is>
          <t>3.3V логика, питание через USB-C/VIN</t>
        </is>
      </c>
      <c r="O4" s="8" t="inlineStr">
        <is>
          <t>ESP32</t>
        </is>
      </c>
      <c r="P4" s="8" t="inlineStr">
        <is>
          <t>Да</t>
        </is>
      </c>
      <c r="Q4" s="10" t="inlineStr"/>
      <c r="R4" s="10" t="inlineStr">
        <is>
          <t>Не тестировалось</t>
        </is>
      </c>
      <c r="S4" s="10" t="inlineStr">
        <is>
          <t>Зафиксировать pinout именно этой платы</t>
        </is>
      </c>
      <c r="T4" s="10" t="inlineStr">
        <is>
          <t>Использовать pinout с фото, не абстрактный DevKit</t>
        </is>
      </c>
    </row>
    <row r="5" ht="36" customHeight="1">
      <c r="A5" s="8" t="n">
        <v>3</v>
      </c>
      <c r="B5" s="8" t="inlineStr">
        <is>
          <t>Фото 19</t>
        </is>
      </c>
      <c r="C5" s="8" t="inlineStr">
        <is>
          <t>Камера</t>
        </is>
      </c>
      <c r="D5" s="8" t="inlineStr">
        <is>
          <t>Pi camera</t>
        </is>
      </c>
      <c r="E5" s="8" t="inlineStr">
        <is>
          <t>IMX219, 130°, MF, China</t>
        </is>
      </c>
      <c r="F5" s="8" t="inlineStr">
        <is>
          <t>CSI</t>
        </is>
      </c>
      <c r="G5" s="8" t="inlineStr">
        <is>
          <t>Основная камера турели v1</t>
        </is>
      </c>
      <c r="H5" s="8" t="inlineStr">
        <is>
          <t>Высокий</t>
        </is>
      </c>
      <c r="I5" s="8" t="inlineStr">
        <is>
          <t>Ядро Rev1</t>
        </is>
      </c>
      <c r="J5" s="8" t="inlineStr">
        <is>
          <t>Подтверждено</t>
        </is>
      </c>
      <c r="K5" s="9" t="n">
        <v>1</v>
      </c>
      <c r="L5" s="8" t="inlineStr">
        <is>
          <t>шт</t>
        </is>
      </c>
      <c r="M5" s="13" t="n"/>
      <c r="N5" s="8" t="inlineStr">
        <is>
          <t>CSI, питание от Pi</t>
        </is>
      </c>
      <c r="O5" s="8" t="inlineStr">
        <is>
          <t>Raspberry Pi</t>
        </is>
      </c>
      <c r="P5" s="8" t="inlineStr">
        <is>
          <t>Да</t>
        </is>
      </c>
      <c r="Q5" s="10" t="inlineStr"/>
      <c r="R5" s="10" t="inlineStr">
        <is>
          <t>Не тестировалось</t>
        </is>
      </c>
      <c r="S5" s="10" t="inlineStr">
        <is>
          <t>Подготовить шлейф и тест изображения</t>
        </is>
      </c>
      <c r="T5" s="10" t="inlineStr">
        <is>
          <t>Единственная камера в наличии; OV5647 убрать из активных планов</t>
        </is>
      </c>
    </row>
    <row r="6" ht="36" customHeight="1">
      <c r="A6" s="8" t="n">
        <v>4</v>
      </c>
      <c r="B6" s="8" t="inlineStr">
        <is>
          <t>Фото 26</t>
        </is>
      </c>
      <c r="C6" s="8" t="inlineStr">
        <is>
          <t>Дальномер</t>
        </is>
      </c>
      <c r="D6" s="8" t="inlineStr">
        <is>
          <t>LiDAR</t>
        </is>
      </c>
      <c r="E6" s="8" t="inlineStr">
        <is>
          <t>TFmini Plus</t>
        </is>
      </c>
      <c r="F6" s="8" t="inlineStr">
        <is>
          <t>UART, 4-wire JST</t>
        </is>
      </c>
      <c r="G6" s="8" t="inlineStr">
        <is>
          <t>Дальномер турели; production-ready профиль вместе с HC-SR04 laboratory-profile</t>
        </is>
      </c>
      <c r="H6" s="8" t="inlineStr">
        <is>
          <t>Высокий</t>
        </is>
      </c>
      <c r="I6" s="8" t="inlineStr">
        <is>
          <t>Ядро Rev1</t>
        </is>
      </c>
      <c r="J6" s="8" t="inlineStr">
        <is>
          <t>Подтверждено</t>
        </is>
      </c>
      <c r="K6" s="9" t="n">
        <v>1</v>
      </c>
      <c r="L6" s="8" t="inlineStr">
        <is>
          <t>шт</t>
        </is>
      </c>
      <c r="M6" s="13" t="n"/>
      <c r="N6" s="8" t="inlineStr">
        <is>
          <t>5V питание + UART TTL</t>
        </is>
      </c>
      <c r="O6" s="8" t="inlineStr">
        <is>
          <t>Raspberry Pi</t>
        </is>
      </c>
      <c r="P6" s="8" t="inlineStr">
        <is>
          <t>Да</t>
        </is>
      </c>
      <c r="Q6" s="10" t="inlineStr"/>
      <c r="R6" s="10" t="inlineStr">
        <is>
          <t>Проблема</t>
        </is>
      </c>
      <c r="S6" s="10" t="inlineStr">
        <is>
          <t>Разобрать прошлую проблему подключения и затем вести параллельно с HC-SR04 laboratory-profile</t>
        </is>
      </c>
      <c r="T6" s="10" t="inlineStr">
        <is>
          <t>Нужен документ от производителя</t>
        </is>
      </c>
    </row>
    <row r="7" ht="36" customHeight="1">
      <c r="A7" s="8" t="n">
        <v>5</v>
      </c>
      <c r="B7" s="8" t="inlineStr">
        <is>
          <t>Фото 23</t>
        </is>
      </c>
      <c r="C7" s="8" t="inlineStr">
        <is>
          <t>Датчик</t>
        </is>
      </c>
      <c r="D7" s="8" t="inlineStr">
        <is>
          <t>Light sensor</t>
        </is>
      </c>
      <c r="E7" s="8" t="inlineStr">
        <is>
          <t>BH1750FVI module</t>
        </is>
      </c>
      <c r="F7" s="8" t="inlineStr">
        <is>
          <t>VCC / SCL / SDA / GND / ADDR</t>
        </is>
      </c>
      <c r="G7" s="8" t="inlineStr">
        <is>
          <t>Освещённость / контекст полива</t>
        </is>
      </c>
      <c r="H7" s="8" t="inlineStr">
        <is>
          <t>Средний</t>
        </is>
      </c>
      <c r="I7" s="8" t="inlineStr">
        <is>
          <t>Ядро Rev1</t>
        </is>
      </c>
      <c r="J7" s="8" t="inlineStr">
        <is>
          <t>Подтверждено</t>
        </is>
      </c>
      <c r="K7" s="9" t="n">
        <v>1</v>
      </c>
      <c r="L7" s="8" t="inlineStr">
        <is>
          <t>шт</t>
        </is>
      </c>
      <c r="M7" s="13" t="n"/>
      <c r="N7" s="8" t="inlineStr">
        <is>
          <t>I2C, 3.3V/5V-модуль</t>
        </is>
      </c>
      <c r="O7" s="8" t="inlineStr">
        <is>
          <t>ESP32</t>
        </is>
      </c>
      <c r="P7" s="8" t="inlineStr">
        <is>
          <t>Да</t>
        </is>
      </c>
      <c r="Q7" s="10" t="inlineStr"/>
      <c r="R7" s="10" t="inlineStr">
        <is>
          <t>Не тестировалось</t>
        </is>
      </c>
      <c r="S7" s="10" t="inlineStr">
        <is>
          <t>Поднять на I2C с ESP32</t>
        </is>
      </c>
      <c r="T7" s="10" t="inlineStr">
        <is>
          <t>5-пиновая версия с ADDR</t>
        </is>
      </c>
    </row>
    <row r="8" ht="36" customHeight="1">
      <c r="A8" s="8" t="n">
        <v>6</v>
      </c>
      <c r="B8" s="8" t="inlineStr">
        <is>
          <t>Фото 24</t>
        </is>
      </c>
      <c r="C8" s="8" t="inlineStr">
        <is>
          <t>Датчик</t>
        </is>
      </c>
      <c r="D8" s="8" t="inlineStr">
        <is>
          <t>Temp/Humidity sensor</t>
        </is>
      </c>
      <c r="E8" s="8" t="inlineStr">
        <is>
          <t>AM2302 / DHT22 module</t>
        </is>
      </c>
      <c r="F8" s="8" t="inlineStr">
        <is>
          <t>DAT / VCC / GND</t>
        </is>
      </c>
      <c r="G8" s="8" t="inlineStr">
        <is>
          <t>Температура / влажность</t>
        </is>
      </c>
      <c r="H8" s="8" t="inlineStr">
        <is>
          <t>Высокий</t>
        </is>
      </c>
      <c r="I8" s="8" t="inlineStr">
        <is>
          <t>Ядро Rev1</t>
        </is>
      </c>
      <c r="J8" s="8" t="inlineStr">
        <is>
          <t>Подтверждено</t>
        </is>
      </c>
      <c r="K8" s="9" t="n">
        <v>1</v>
      </c>
      <c r="L8" s="8" t="inlineStr">
        <is>
          <t>шт</t>
        </is>
      </c>
      <c r="M8" s="13" t="n"/>
      <c r="N8" s="8" t="inlineStr">
        <is>
          <t>3.3V / digital data</t>
        </is>
      </c>
      <c r="O8" s="8" t="inlineStr">
        <is>
          <t>ESP32</t>
        </is>
      </c>
      <c r="P8" s="8" t="inlineStr">
        <is>
          <t>Да</t>
        </is>
      </c>
      <c r="Q8" s="10" t="inlineStr"/>
      <c r="R8" s="10" t="inlineStr">
        <is>
          <t>Не тестировалось</t>
        </is>
      </c>
      <c r="S8" s="10" t="inlineStr">
        <is>
          <t>Проверить частоту опроса и pull-up</t>
        </is>
      </c>
      <c r="T8" s="10" t="inlineStr">
        <is>
          <t>Модульная версия, не голый датчик</t>
        </is>
      </c>
    </row>
    <row r="9" ht="36" customHeight="1">
      <c r="A9" s="8" t="n">
        <v>7</v>
      </c>
      <c r="B9" s="8" t="inlineStr">
        <is>
          <t>Фото 4</t>
        </is>
      </c>
      <c r="C9" s="8" t="inlineStr">
        <is>
          <t>Датчик</t>
        </is>
      </c>
      <c r="D9" s="8" t="inlineStr">
        <is>
          <t>Soil moisture sensor</t>
        </is>
      </c>
      <c r="E9" s="8" t="inlineStr">
        <is>
          <t>Capacitive Soil Moisture Sensor</t>
        </is>
      </c>
      <c r="F9" s="8" t="inlineStr">
        <is>
          <t>GND / VCC / AOUT</t>
        </is>
      </c>
      <c r="G9" s="8" t="inlineStr">
        <is>
          <t>Контур полива ESP32</t>
        </is>
      </c>
      <c r="H9" s="8" t="inlineStr">
        <is>
          <t>Высокий</t>
        </is>
      </c>
      <c r="I9" s="8" t="inlineStr">
        <is>
          <t>Ядро Rev1</t>
        </is>
      </c>
      <c r="J9" s="8" t="inlineStr">
        <is>
          <t>Подтверждено</t>
        </is>
      </c>
      <c r="K9" s="9" t="n">
        <v>1</v>
      </c>
      <c r="L9" s="8" t="inlineStr">
        <is>
          <t>шт</t>
        </is>
      </c>
      <c r="M9" s="13" t="n"/>
      <c r="N9" s="8" t="inlineStr">
        <is>
          <t>Аналоговый выход, следить за уровнем</t>
        </is>
      </c>
      <c r="O9" s="8" t="inlineStr">
        <is>
          <t>ESP32</t>
        </is>
      </c>
      <c r="P9" s="8" t="inlineStr">
        <is>
          <t>Да</t>
        </is>
      </c>
      <c r="Q9" s="10" t="inlineStr"/>
      <c r="R9" s="10" t="inlineStr">
        <is>
          <t>Не тестировалось</t>
        </is>
      </c>
      <c r="S9" s="10" t="inlineStr">
        <is>
          <t>Проверить max AO &lt; 3.3V</t>
        </is>
      </c>
      <c r="T9" s="10" t="inlineStr"/>
    </row>
    <row r="10" ht="36" customHeight="1">
      <c r="A10" s="8" t="n">
        <v>8</v>
      </c>
      <c r="B10" s="8" t="inlineStr">
        <is>
          <t>Фото 20</t>
        </is>
      </c>
      <c r="C10" s="8" t="inlineStr">
        <is>
          <t>Датчик</t>
        </is>
      </c>
      <c r="D10" s="8" t="inlineStr">
        <is>
          <t>PIR motion sensor</t>
        </is>
      </c>
      <c r="E10" s="8" t="inlineStr">
        <is>
          <t>HC-SR501 type</t>
        </is>
      </c>
      <c r="F10" s="8" t="inlineStr">
        <is>
          <t>VCC / OUT / GND + jumper + 2 trimmers</t>
        </is>
      </c>
      <c r="G10" s="8" t="inlineStr">
        <is>
          <t>Детекция движения</t>
        </is>
      </c>
      <c r="H10" s="8" t="inlineStr">
        <is>
          <t>Средний</t>
        </is>
      </c>
      <c r="I10" s="8" t="inlineStr">
        <is>
          <t>Ядро Rev1</t>
        </is>
      </c>
      <c r="J10" s="8" t="inlineStr">
        <is>
          <t>Подтверждено</t>
        </is>
      </c>
      <c r="K10" s="9" t="n">
        <v>1</v>
      </c>
      <c r="L10" s="8" t="inlineStr">
        <is>
          <t>шт</t>
        </is>
      </c>
      <c r="M10" s="13" t="n"/>
      <c r="N10" s="8" t="inlineStr">
        <is>
          <t>Обычно 5V питание, TTL OUT</t>
        </is>
      </c>
      <c r="O10" s="8" t="inlineStr">
        <is>
          <t>Raspberry Pi</t>
        </is>
      </c>
      <c r="P10" s="8" t="inlineStr">
        <is>
          <t>Да</t>
        </is>
      </c>
      <c r="Q10" s="10" t="inlineStr"/>
      <c r="R10" s="10" t="inlineStr">
        <is>
          <t>Не тестировалось</t>
        </is>
      </c>
      <c r="S10" s="10" t="inlineStr">
        <is>
          <t>Проверить уровень OUT на реальном модуле</t>
        </is>
      </c>
      <c r="T10" s="10" t="inlineStr"/>
    </row>
    <row r="11" ht="36" customHeight="1">
      <c r="A11" s="8" t="n">
        <v>9</v>
      </c>
      <c r="B11" s="8" t="inlineStr">
        <is>
          <t>Фото 25</t>
        </is>
      </c>
      <c r="C11" s="8" t="inlineStr">
        <is>
          <t>Интерфейсный модуль</t>
        </is>
      </c>
      <c r="D11" s="8" t="inlineStr">
        <is>
          <t>Comparator board</t>
        </is>
      </c>
      <c r="E11" s="8" t="inlineStr">
        <is>
          <t>LM393 AO/DO module for external probe</t>
        </is>
      </c>
      <c r="F11" s="8" t="inlineStr">
        <is>
          <t>AO / DO / GND / VCC + 2-pin sensor input</t>
        </is>
      </c>
      <c r="G11" s="8" t="inlineStr">
        <is>
          <t>Лабораторный / внешний щуп / резистивный сенсор</t>
        </is>
      </c>
      <c r="H11" s="8" t="inlineStr">
        <is>
          <t>Низкий</t>
        </is>
      </c>
      <c r="I11" s="8" t="inlineStr">
        <is>
          <t>Laboratory / исследование</t>
        </is>
      </c>
      <c r="J11" s="8" t="inlineStr">
        <is>
          <t>Подтверждено</t>
        </is>
      </c>
      <c r="K11" s="9" t="n">
        <v>1</v>
      </c>
      <c r="L11" s="8" t="inlineStr">
        <is>
          <t>шт</t>
        </is>
      </c>
      <c r="M11" s="13" t="n"/>
      <c r="N11" s="8" t="inlineStr">
        <is>
          <t>Аналог + цифровой порог</t>
        </is>
      </c>
      <c r="O11" s="8" t="inlineStr">
        <is>
          <t>ESP32</t>
        </is>
      </c>
      <c r="P11" s="8" t="inlineStr">
        <is>
          <t>Исследовать</t>
        </is>
      </c>
      <c r="Q11" s="10" t="inlineStr"/>
      <c r="R11" s="10" t="inlineStr">
        <is>
          <t>Не тестировалось</t>
        </is>
      </c>
      <c r="S11" s="10" t="inlineStr">
        <is>
          <t>Определить, какой щуп к нему будет использоваться</t>
        </is>
      </c>
      <c r="T11" s="10" t="inlineStr">
        <is>
          <t>Сам модуль не является самостоятельным датчиком</t>
        </is>
      </c>
    </row>
    <row r="12" ht="36" customHeight="1">
      <c r="A12" s="8" t="n">
        <v>10</v>
      </c>
      <c r="B12" s="8" t="inlineStr">
        <is>
          <t>Фото 1</t>
        </is>
      </c>
      <c r="C12" s="8" t="inlineStr">
        <is>
          <t>Привод</t>
        </is>
      </c>
      <c r="D12" s="8" t="inlineStr">
        <is>
          <t>Servo</t>
        </is>
      </c>
      <c r="E12" s="8" t="inlineStr">
        <is>
          <t>MG996R</t>
        </is>
      </c>
      <c r="F12" s="8" t="inlineStr">
        <is>
          <t>Signal / +V / GND</t>
        </is>
      </c>
      <c r="G12" s="8" t="inlineStr">
        <is>
          <t>Поворот / наклон турели, рабочий servo-контур 0-90-180</t>
        </is>
      </c>
      <c r="H12" s="8" t="inlineStr">
        <is>
          <t>Высокий</t>
        </is>
      </c>
      <c r="I12" s="8" t="inlineStr">
        <is>
          <t>Ядро Rev1</t>
        </is>
      </c>
      <c r="J12" s="8" t="inlineStr">
        <is>
          <t>Подтверждено</t>
        </is>
      </c>
      <c r="K12" s="9" t="n">
        <v>1</v>
      </c>
      <c r="L12" s="8" t="inlineStr">
        <is>
          <t>шт</t>
        </is>
      </c>
      <c r="M12" s="13" t="n"/>
      <c r="N12" s="8" t="inlineStr">
        <is>
          <t>Обычно 5–6V, отдельный rail</t>
        </is>
      </c>
      <c r="O12" s="8" t="inlineStr">
        <is>
          <t>Raspberry Pi</t>
        </is>
      </c>
      <c r="P12" s="8" t="inlineStr">
        <is>
          <t>Да</t>
        </is>
      </c>
      <c r="Q12" s="10" t="inlineStr"/>
      <c r="R12" s="10" t="inlineStr">
        <is>
          <t>Не тестировалось</t>
        </is>
      </c>
      <c r="S12" s="10" t="inlineStr">
        <is>
          <t>Вести через PCA9685; не питать от Pi напрямую</t>
        </is>
      </c>
      <c r="T12" s="10" t="inlineStr">
        <is>
          <t>Шаговые моторы не участвуют в turret motion</t>
        </is>
      </c>
    </row>
    <row r="13" ht="36" customHeight="1">
      <c r="A13" s="8" t="n">
        <v>11</v>
      </c>
      <c r="B13" s="8" t="inlineStr">
        <is>
          <t>Фото 2</t>
        </is>
      </c>
      <c r="C13" s="8" t="inlineStr">
        <is>
          <t>Привод</t>
        </is>
      </c>
      <c r="D13" s="8" t="inlineStr">
        <is>
          <t>Stepper motor</t>
        </is>
      </c>
      <c r="E13" s="8" t="inlineStr">
        <is>
          <t>Неизвестный шаговый мотор</t>
        </is>
      </c>
      <c r="F13" s="8" t="inlineStr">
        <is>
          <t>4 провода, 4-pin разъём</t>
        </is>
      </c>
      <c r="G13" s="8" t="inlineStr">
        <is>
          <t>Laboratory-only модуль для исследования приводов</t>
        </is>
      </c>
      <c r="H13" s="8" t="inlineStr">
        <is>
          <t>Низкий</t>
        </is>
      </c>
      <c r="I13" s="8" t="inlineStr">
        <is>
          <t>Laboratory / исследование</t>
        </is>
      </c>
      <c r="J13" s="8" t="inlineStr">
        <is>
          <t>Нужно уточнить</t>
        </is>
      </c>
      <c r="K13" s="9" t="n">
        <v>1</v>
      </c>
      <c r="L13" s="8" t="inlineStr">
        <is>
          <t>шт</t>
        </is>
      </c>
      <c r="M13" s="13" t="n"/>
      <c r="N13" s="8" t="inlineStr">
        <is>
          <t>Пока неизвестно</t>
        </is>
      </c>
      <c r="O13" s="8" t="inlineStr">
        <is>
          <t>Laboratory</t>
        </is>
      </c>
      <c r="P13" s="8" t="inlineStr">
        <is>
          <t>Исследовать</t>
        </is>
      </c>
      <c r="Q13" s="10" t="inlineStr"/>
      <c r="R13" s="10" t="inlineStr">
        <is>
          <t>Не тестировалось</t>
        </is>
      </c>
      <c r="S13" s="10" t="inlineStr">
        <is>
          <t>Прозвонить пары обмоток и определить параметры</t>
        </is>
      </c>
      <c r="T13" s="10" t="inlineStr">
        <is>
          <t>Не участвует в управлении движениями турели</t>
        </is>
      </c>
    </row>
    <row r="14" ht="36" customHeight="1">
      <c r="A14" s="8" t="n">
        <v>12</v>
      </c>
      <c r="B14" s="8" t="inlineStr">
        <is>
          <t>Фото 8</t>
        </is>
      </c>
      <c r="C14" s="8" t="inlineStr">
        <is>
          <t>Привод</t>
        </is>
      </c>
      <c r="D14" s="8" t="inlineStr">
        <is>
          <t>Stepper motor</t>
        </is>
      </c>
      <c r="E14" s="8" t="inlineStr">
        <is>
          <t>Applied Motion Products HT17-268-002</t>
        </is>
      </c>
      <c r="F14" s="8" t="inlineStr">
        <is>
          <t>4 провода, 4-pin разъём</t>
        </is>
      </c>
      <c r="G14" s="8" t="inlineStr">
        <is>
          <t>Laboratory-only модуль для исследования приводов</t>
        </is>
      </c>
      <c r="H14" s="8" t="inlineStr">
        <is>
          <t>Средний</t>
        </is>
      </c>
      <c r="I14" s="8" t="inlineStr">
        <is>
          <t>Laboratory / исследование</t>
        </is>
      </c>
      <c r="J14" s="8" t="inlineStr">
        <is>
          <t>Подтверждено</t>
        </is>
      </c>
      <c r="K14" s="9" t="n">
        <v>1</v>
      </c>
      <c r="L14" s="8" t="inlineStr">
        <is>
          <t>шт</t>
        </is>
      </c>
      <c r="M14" s="13" t="n"/>
      <c r="N14" s="8" t="inlineStr">
        <is>
          <t>Нужен stepper driver</t>
        </is>
      </c>
      <c r="O14" s="8" t="inlineStr">
        <is>
          <t>Laboratory</t>
        </is>
      </c>
      <c r="P14" s="8" t="inlineStr">
        <is>
          <t>Исследовать</t>
        </is>
      </c>
      <c r="Q14" s="10" t="inlineStr"/>
      <c r="R14" s="10" t="inlineStr">
        <is>
          <t>Не тестировалось</t>
        </is>
      </c>
      <c r="S14" s="10" t="inlineStr">
        <is>
          <t>Подобрать/подтвердить драйвер</t>
        </is>
      </c>
      <c r="T14" s="10" t="inlineStr">
        <is>
          <t>Не участвует в управлении движениями турели; нужен отдельный stepper driver</t>
        </is>
      </c>
    </row>
    <row r="15" ht="36" customHeight="1">
      <c r="A15" s="8" t="n">
        <v>13</v>
      </c>
      <c r="B15" s="8" t="inlineStr">
        <is>
          <t>Фото 3</t>
        </is>
      </c>
      <c r="C15" s="8" t="inlineStr">
        <is>
          <t>Гидравлика</t>
        </is>
      </c>
      <c r="D15" s="8" t="inlineStr">
        <is>
          <t>Pressure pump</t>
        </is>
      </c>
      <c r="E15" s="8" t="inlineStr">
        <is>
          <t>SEAFLO 12V water pressure pump</t>
        </is>
      </c>
      <c r="F15" s="8" t="inlineStr">
        <is>
          <t>Силовые провода + гидролинии</t>
        </is>
      </c>
      <c r="G15" s="8" t="inlineStr">
        <is>
          <t>Turret water path: отпугивание птиц распылением ближе 2 м + опрыскивание растений через общую форсунку</t>
        </is>
      </c>
      <c r="H15" s="8" t="inlineStr">
        <is>
          <t>Высокий</t>
        </is>
      </c>
      <c r="I15" s="8" t="inlineStr">
        <is>
          <t>Ядро Rev1</t>
        </is>
      </c>
      <c r="J15" s="8" t="inlineStr">
        <is>
          <t>Подтверждено</t>
        </is>
      </c>
      <c r="K15" s="9" t="n">
        <v>1</v>
      </c>
      <c r="L15" s="8" t="inlineStr">
        <is>
          <t>шт</t>
        </is>
      </c>
      <c r="M15" s="13" t="n"/>
      <c r="N15" s="8" t="inlineStr">
        <is>
          <t>12V, силовая нагрузка</t>
        </is>
      </c>
      <c r="O15" s="8" t="inlineStr">
        <is>
          <t>Raspberry Pi</t>
        </is>
      </c>
      <c r="P15" s="8" t="inlineStr">
        <is>
          <t>Да</t>
        </is>
      </c>
      <c r="Q15" s="10" t="inlineStr"/>
      <c r="R15" s="10" t="inlineStr">
        <is>
          <t>Не тестировалось</t>
        </is>
      </c>
      <c r="S15" s="10" t="inlineStr">
        <is>
          <t>Запускать через лабораторник с ограничением тока</t>
        </is>
      </c>
      <c r="T15" s="10" t="inlineStr">
        <is>
          <t>Turret-owned SEAFLO path, не irrigation-owner</t>
        </is>
      </c>
    </row>
    <row r="16" ht="36" customHeight="1">
      <c r="A16" s="8" t="n">
        <v>14</v>
      </c>
      <c r="B16" s="8" t="inlineStr">
        <is>
          <t>Фото 7</t>
        </is>
      </c>
      <c r="C16" s="8" t="inlineStr">
        <is>
          <t>Гидравлика</t>
        </is>
      </c>
      <c r="D16" s="8" t="inlineStr">
        <is>
          <t>Peristaltic pump</t>
        </is>
      </c>
      <c r="E16" s="8" t="inlineStr">
        <is>
          <t>Micro Peristaltic Pump DC 6V–12V Small Mini 500</t>
        </is>
      </c>
      <c r="F16" s="8" t="inlineStr">
        <is>
          <t>2 провода, трубки</t>
        </is>
      </c>
      <c r="G16" s="8" t="inlineStr">
        <is>
          <t>Irrigation path ESP32: подача воды к растениям через клапанный каскад</t>
        </is>
      </c>
      <c r="H16" s="8" t="inlineStr">
        <is>
          <t>Высокий</t>
        </is>
      </c>
      <c r="I16" s="8" t="inlineStr">
        <is>
          <t>Ядро Rev1</t>
        </is>
      </c>
      <c r="J16" s="8" t="inlineStr">
        <is>
          <t>Подтверждено</t>
        </is>
      </c>
      <c r="K16" s="9" t="n">
        <v>1</v>
      </c>
      <c r="L16" s="8" t="inlineStr">
        <is>
          <t>шт</t>
        </is>
      </c>
      <c r="M16" s="13" t="n"/>
      <c r="N16" s="8" t="inlineStr">
        <is>
          <t>6–12V, силовая нагрузка</t>
        </is>
      </c>
      <c r="O16" s="8" t="inlineStr">
        <is>
          <t>ESP32</t>
        </is>
      </c>
      <c r="P16" s="8" t="inlineStr">
        <is>
          <t>Да</t>
        </is>
      </c>
      <c r="Q16" s="10" t="inlineStr"/>
      <c r="R16" s="10" t="inlineStr">
        <is>
          <t>Не тестировалось</t>
        </is>
      </c>
      <c r="S16" s="10" t="inlineStr">
        <is>
          <t>Управлять через MOSFET + flyback</t>
        </is>
      </c>
      <c r="T16" s="10" t="inlineStr">
        <is>
          <t>Отдельный от turret water path насос</t>
        </is>
      </c>
    </row>
    <row r="17" ht="36" customHeight="1">
      <c r="A17" s="8" t="n">
        <v>15</v>
      </c>
      <c r="B17" s="8" t="inlineStr">
        <is>
          <t>Фото 17</t>
        </is>
      </c>
      <c r="C17" s="8" t="inlineStr">
        <is>
          <t>Гидравлика</t>
        </is>
      </c>
      <c r="D17" s="8" t="inlineStr">
        <is>
          <t>Solenoid valve</t>
        </is>
      </c>
      <c r="E17" s="8" t="inlineStr">
        <is>
          <t>Мини-клапан, вероятно 3.7V-класс</t>
        </is>
      </c>
      <c r="F17" s="8" t="inlineStr">
        <is>
          <t>2 провода, 2 штуцера</t>
        </is>
      </c>
      <c r="G17" s="8" t="inlineStr">
        <is>
          <t>Клапанный каскад полива / laboratory qualification</t>
        </is>
      </c>
      <c r="H17" s="8" t="inlineStr">
        <is>
          <t>Низкий</t>
        </is>
      </c>
      <c r="I17" s="8" t="inlineStr">
        <is>
          <t>Laboratory / исследование</t>
        </is>
      </c>
      <c r="J17" s="8" t="inlineStr">
        <is>
          <t>Нужно уточнить</t>
        </is>
      </c>
      <c r="K17" s="9" t="n">
        <v>1</v>
      </c>
      <c r="L17" s="8" t="inlineStr">
        <is>
          <t>шт</t>
        </is>
      </c>
      <c r="M17" s="13" t="n"/>
      <c r="N17" s="8" t="inlineStr">
        <is>
          <t>Напряжение и ток катушки неизвестны</t>
        </is>
      </c>
      <c r="O17" s="8" t="inlineStr">
        <is>
          <t>Power</t>
        </is>
      </c>
      <c r="P17" s="8" t="inlineStr">
        <is>
          <t>Исследовать</t>
        </is>
      </c>
      <c r="Q17" s="10" t="inlineStr"/>
      <c r="R17" s="10" t="inlineStr">
        <is>
          <t>Не тестировалось</t>
        </is>
      </c>
      <c r="S17" s="10" t="inlineStr">
        <is>
          <t>Измерить напряжение/ток катушки перед трассировкой</t>
        </is>
      </c>
      <c r="T17" s="10" t="inlineStr">
        <is>
          <t>Используется для irrigation path после подтверждения характеристик катушки</t>
        </is>
      </c>
    </row>
    <row r="18" ht="36" customHeight="1">
      <c r="A18" s="8" t="n">
        <v>16</v>
      </c>
      <c r="B18" s="8" t="inlineStr">
        <is>
          <t>Фото 10</t>
        </is>
      </c>
      <c r="C18" s="8" t="inlineStr">
        <is>
          <t>Силовой ключ</t>
        </is>
      </c>
      <c r="D18" s="8" t="inlineStr">
        <is>
          <t>MOSFET</t>
        </is>
      </c>
      <c r="E18" s="8" t="inlineStr">
        <is>
          <t>IRLZ44N, TO-220</t>
        </is>
      </c>
      <c r="F18" s="8" t="inlineStr">
        <is>
          <t>G / D / S (спереди, ножки вниз)</t>
        </is>
      </c>
      <c r="G18" s="8" t="inlineStr">
        <is>
          <t>Силовой ключ нагрузки</t>
        </is>
      </c>
      <c r="H18" s="8" t="inlineStr">
        <is>
          <t>Высокий</t>
        </is>
      </c>
      <c r="I18" s="8" t="inlineStr">
        <is>
          <t>Ядро Rev1</t>
        </is>
      </c>
      <c r="J18" s="8" t="inlineStr">
        <is>
          <t>Подтверждено</t>
        </is>
      </c>
      <c r="K18" s="9" t="n">
        <v>1</v>
      </c>
      <c r="L18" s="8" t="inlineStr">
        <is>
          <t>шт</t>
        </is>
      </c>
      <c r="M18" s="13" t="n"/>
      <c r="N18" s="8" t="inlineStr">
        <is>
          <t>Logic-level MOSFET</t>
        </is>
      </c>
      <c r="O18" s="8" t="inlineStr">
        <is>
          <t>Power</t>
        </is>
      </c>
      <c r="P18" s="8" t="inlineStr">
        <is>
          <t>Да</t>
        </is>
      </c>
      <c r="Q18" s="10" t="inlineStr"/>
      <c r="R18" s="10" t="inlineStr">
        <is>
          <t>Не тестировалось</t>
        </is>
      </c>
      <c r="S18" s="10" t="inlineStr">
        <is>
          <t>Добавить gate resistor, pull-down и flyback diode</t>
        </is>
      </c>
      <c r="T18" s="10" t="inlineStr"/>
    </row>
    <row r="19" ht="36" customHeight="1">
      <c r="A19" s="8" t="n">
        <v>17</v>
      </c>
      <c r="B19" s="8" t="inlineStr">
        <is>
          <t>Фото 9</t>
        </is>
      </c>
      <c r="C19" s="8" t="inlineStr">
        <is>
          <t>Индикация</t>
        </is>
      </c>
      <c r="D19" s="8" t="inlineStr">
        <is>
          <t>RGB LED module</t>
        </is>
      </c>
      <c r="E19" s="8" t="inlineStr">
        <is>
          <t>3_Color RGB LED module</t>
        </is>
      </c>
      <c r="F19" s="8" t="inlineStr">
        <is>
          <t>- / R / G / B</t>
        </is>
      </c>
      <c r="G19" s="8" t="inlineStr">
        <is>
          <t>Индикация / отладка</t>
        </is>
      </c>
      <c r="H19" s="8" t="inlineStr">
        <is>
          <t>Низкий</t>
        </is>
      </c>
      <c r="I19" s="8" t="inlineStr">
        <is>
          <t>Laboratory / исследование</t>
        </is>
      </c>
      <c r="J19" s="8" t="inlineStr">
        <is>
          <t>Подтверждено</t>
        </is>
      </c>
      <c r="K19" s="9" t="n">
        <v>1</v>
      </c>
      <c r="L19" s="8" t="inlineStr">
        <is>
          <t>шт</t>
        </is>
      </c>
      <c r="M19" s="13" t="n"/>
      <c r="N19" s="8" t="inlineStr">
        <is>
          <t>Низковольтный модуль</t>
        </is>
      </c>
      <c r="O19" s="8" t="inlineStr">
        <is>
          <t>ESP32</t>
        </is>
      </c>
      <c r="P19" s="8" t="inlineStr">
        <is>
          <t>Исследовать</t>
        </is>
      </c>
      <c r="Q19" s="10" t="inlineStr"/>
      <c r="R19" s="10" t="inlineStr">
        <is>
          <t>Не тестировалось</t>
        </is>
      </c>
      <c r="S19" s="10" t="inlineStr">
        <is>
          <t>Подтвердить общий вывод мультиметром</t>
        </is>
      </c>
      <c r="T19" s="10" t="inlineStr"/>
    </row>
    <row r="20" ht="36" customHeight="1">
      <c r="A20" s="8" t="n">
        <v>18</v>
      </c>
      <c r="B20" s="8" t="inlineStr">
        <is>
          <t>Фото 12</t>
        </is>
      </c>
      <c r="C20" s="8" t="inlineStr">
        <is>
          <t>Свет</t>
        </is>
      </c>
      <c r="D20" s="8" t="inlineStr">
        <is>
          <t>High-power LED</t>
        </is>
      </c>
      <c r="E20" s="8" t="inlineStr">
        <is>
          <t>Проектный строб-модуль, high-power LED emitter</t>
        </is>
      </c>
      <c r="F20" s="8" t="inlineStr">
        <is>
          <t>+ / -</t>
        </is>
      </c>
      <c r="G20" s="8" t="inlineStr">
        <is>
          <t>Строб / линия защиты турели</t>
        </is>
      </c>
      <c r="H20" s="8" t="inlineStr">
        <is>
          <t>Высокий</t>
        </is>
      </c>
      <c r="I20" s="8" t="inlineStr">
        <is>
          <t>Ядро Rev1</t>
        </is>
      </c>
      <c r="J20" s="8" t="inlineStr">
        <is>
          <t>Подтверждено</t>
        </is>
      </c>
      <c r="K20" s="9" t="n">
        <v>1</v>
      </c>
      <c r="L20" s="8" t="inlineStr">
        <is>
          <t>шт</t>
        </is>
      </c>
      <c r="M20" s="13" t="n"/>
      <c r="N20" s="8" t="inlineStr">
        <is>
          <t>High-power LED, нужен CC driver</t>
        </is>
      </c>
      <c r="O20" s="8" t="inlineStr">
        <is>
          <t>Power</t>
        </is>
      </c>
      <c r="P20" s="8" t="inlineStr">
        <is>
          <t>Да</t>
        </is>
      </c>
      <c r="Q20" s="10" t="inlineStr"/>
      <c r="R20" s="10" t="inlineStr">
        <is>
          <t>Не тестировалось</t>
        </is>
      </c>
      <c r="S20" s="10" t="inlineStr">
        <is>
          <t>Квалифицировать через лабораторник и затем вести как turret-owned defense channel</t>
        </is>
      </c>
      <c r="T20" s="10" t="inlineStr">
        <is>
          <t>Часть turret action-family, не отдельный поздний профиль</t>
        </is>
      </c>
    </row>
    <row r="21" ht="36" customHeight="1">
      <c r="A21" s="8" t="n">
        <v>19</v>
      </c>
      <c r="B21" s="8" t="inlineStr">
        <is>
          <t>Фото 18</t>
        </is>
      </c>
      <c r="C21" s="8" t="inlineStr">
        <is>
          <t>Свет</t>
        </is>
      </c>
      <c r="D21" s="8" t="inlineStr">
        <is>
          <t>LED driver</t>
        </is>
      </c>
      <c r="E21" s="8" t="inlineStr">
        <is>
          <t>Constant current LED driver 50W, DC 12V–24V input</t>
        </is>
      </c>
      <c r="F21" s="8" t="inlineStr">
        <is>
          <t>DC-IN / LED+ / LED-</t>
        </is>
      </c>
      <c r="G21" s="8" t="inlineStr">
        <is>
          <t>Питание high-power LED / turret strobe</t>
        </is>
      </c>
      <c r="H21" s="8" t="inlineStr">
        <is>
          <t>Высокий</t>
        </is>
      </c>
      <c r="I21" s="8" t="inlineStr">
        <is>
          <t>Ядро Rev1</t>
        </is>
      </c>
      <c r="J21" s="8" t="inlineStr">
        <is>
          <t>Подтверждено</t>
        </is>
      </c>
      <c r="K21" s="9" t="n">
        <v>1</v>
      </c>
      <c r="L21" s="8" t="inlineStr">
        <is>
          <t>шт</t>
        </is>
      </c>
      <c r="M21" s="13" t="n"/>
      <c r="N21" s="8" t="inlineStr">
        <is>
          <t>12–24V in, constant current out</t>
        </is>
      </c>
      <c r="O21" s="8" t="inlineStr">
        <is>
          <t>Power</t>
        </is>
      </c>
      <c r="P21" s="8" t="inlineStr">
        <is>
          <t>Да</t>
        </is>
      </c>
      <c r="Q21" s="10" t="inlineStr"/>
      <c r="R21" s="10" t="inlineStr">
        <is>
          <t>Не тестировалось</t>
        </is>
      </c>
      <c r="S21" s="10" t="inlineStr">
        <is>
          <t>Подтвердить совпадение по току с LED и вести как часть turret strobe path</t>
        </is>
      </c>
      <c r="T21" s="10" t="inlineStr">
        <is>
          <t>Часть turret action-family, не отдельный поздний профиль</t>
        </is>
      </c>
    </row>
    <row r="22" ht="36" customHeight="1">
      <c r="A22" s="8" t="n">
        <v>20</v>
      </c>
      <c r="B22" s="8" t="inlineStr">
        <is>
          <t>Фото 5</t>
        </is>
      </c>
      <c r="C22" s="8" t="inlineStr">
        <is>
          <t>Акустика</t>
        </is>
      </c>
      <c r="D22" s="8" t="inlineStr">
        <is>
          <t>Ultrasonic horn</t>
        </is>
      </c>
      <c r="E22" s="8" t="inlineStr">
        <is>
          <t>5140 Ultrasonic Speaker Horn</t>
        </is>
      </c>
      <c r="F22" s="8" t="inlineStr">
        <is>
          <t>2 провода</t>
        </is>
      </c>
      <c r="G22" s="8" t="inlineStr">
        <is>
          <t>Ультразвуковой / направленный акустический каскад x2</t>
        </is>
      </c>
      <c r="H22" s="8" t="inlineStr">
        <is>
          <t>Низкий</t>
        </is>
      </c>
      <c r="I22" s="8" t="inlineStr">
        <is>
          <t>Поздний силовой каскад</t>
        </is>
      </c>
      <c r="J22" s="8" t="inlineStr">
        <is>
          <t>Подтверждено</t>
        </is>
      </c>
      <c r="K22" s="9" t="n">
        <v>2</v>
      </c>
      <c r="L22" s="8" t="inlineStr">
        <is>
          <t>шт</t>
        </is>
      </c>
      <c r="M22" s="13" t="n"/>
      <c r="N22" s="8" t="inlineStr">
        <is>
          <t>2-wire acoustic load</t>
        </is>
      </c>
      <c r="O22" s="8" t="inlineStr">
        <is>
          <t>Audio</t>
        </is>
      </c>
      <c r="P22" s="8" t="inlineStr">
        <is>
          <t>Позже</t>
        </is>
      </c>
      <c r="Q22" s="10" t="inlineStr"/>
      <c r="R22" s="10" t="inlineStr">
        <is>
          <t>Не тестировалось</t>
        </is>
      </c>
      <c r="S22" s="10" t="inlineStr">
        <is>
          <t>Проверить реальный рабочий диапазон; спецификация продавца подозрительна</t>
        </is>
      </c>
      <c r="T22" s="10" t="inlineStr">
        <is>
          <t>2 штуки; спецификация продавца по частоте требует реальной проверки</t>
        </is>
      </c>
    </row>
    <row r="23" ht="36" customHeight="1">
      <c r="A23" s="8" t="n">
        <v>21</v>
      </c>
      <c r="B23" s="8" t="inlineStr">
        <is>
          <t>Фото 6</t>
        </is>
      </c>
      <c r="C23" s="8" t="inlineStr">
        <is>
          <t>Акустика</t>
        </is>
      </c>
      <c r="D23" s="8" t="inlineStr">
        <is>
          <t>Square horn</t>
        </is>
      </c>
      <c r="E23" s="8" t="inlineStr">
        <is>
          <t>4 inch 110×110mm Square Horn</t>
        </is>
      </c>
      <c r="F23" s="8" t="inlineStr">
        <is>
          <t>Пассивный рупор / волновод</t>
        </is>
      </c>
      <c r="G23" s="8" t="inlineStr">
        <is>
          <t>Направленный звук / horn_pair x2</t>
        </is>
      </c>
      <c r="H23" s="8" t="inlineStr">
        <is>
          <t>Низкий</t>
        </is>
      </c>
      <c r="I23" s="8" t="inlineStr">
        <is>
          <t>Поздний силовой каскад</t>
        </is>
      </c>
      <c r="J23" s="8" t="inlineStr">
        <is>
          <t>Подтверждено</t>
        </is>
      </c>
      <c r="K23" s="9" t="n">
        <v>2</v>
      </c>
      <c r="L23" s="8" t="inlineStr">
        <is>
          <t>шт</t>
        </is>
      </c>
      <c r="M23" s="13" t="n"/>
      <c r="N23" s="8" t="inlineStr">
        <is>
          <t>Пассивная акустика</t>
        </is>
      </c>
      <c r="O23" s="8" t="inlineStr">
        <is>
          <t>Audio</t>
        </is>
      </c>
      <c r="P23" s="8" t="inlineStr">
        <is>
          <t>Позже</t>
        </is>
      </c>
      <c r="Q23" s="10" t="inlineStr"/>
      <c r="R23" s="10" t="inlineStr">
        <is>
          <t>Не тестировалось</t>
        </is>
      </c>
      <c r="S23" s="10" t="inlineStr">
        <is>
          <t>Подбирать вместе с аудио-драйвером</t>
        </is>
      </c>
      <c r="T23" s="10" t="inlineStr">
        <is>
          <t>2 штуки; пассивный рупор / волновод без собственного драйвера</t>
        </is>
      </c>
    </row>
    <row r="24" ht="36" customHeight="1">
      <c r="A24" s="8" t="n">
        <v>22</v>
      </c>
      <c r="B24" s="8" t="inlineStr">
        <is>
          <t>Фото 11</t>
        </is>
      </c>
      <c r="C24" s="8" t="inlineStr">
        <is>
          <t>Аудио</t>
        </is>
      </c>
      <c r="D24" s="8" t="inlineStr">
        <is>
          <t>Power amplifier</t>
        </is>
      </c>
      <c r="E24" s="8" t="inlineStr">
        <is>
          <t>TPA3116D2 XH-M543, 12V/24V, 120W×2</t>
        </is>
      </c>
      <c r="F24" s="8" t="inlineStr">
        <is>
          <t>Питание + 2 канала выхода + входной разъём</t>
        </is>
      </c>
      <c r="G24" s="8" t="inlineStr">
        <is>
          <t>Основной громкий аудиоканал</t>
        </is>
      </c>
      <c r="H24" s="8" t="inlineStr">
        <is>
          <t>Средний</t>
        </is>
      </c>
      <c r="I24" s="8" t="inlineStr">
        <is>
          <t>Поздний силовой каскад</t>
        </is>
      </c>
      <c r="J24" s="8" t="inlineStr">
        <is>
          <t>Подтверждено</t>
        </is>
      </c>
      <c r="K24" s="9" t="n">
        <v>1</v>
      </c>
      <c r="L24" s="8" t="inlineStr">
        <is>
          <t>шт</t>
        </is>
      </c>
      <c r="M24" s="13" t="n"/>
      <c r="N24" s="8" t="inlineStr">
        <is>
          <t>12V/24V power amp</t>
        </is>
      </c>
      <c r="O24" s="8" t="inlineStr">
        <is>
          <t>Audio</t>
        </is>
      </c>
      <c r="P24" s="8" t="inlineStr">
        <is>
          <t>Позже</t>
        </is>
      </c>
      <c r="Q24" s="10" t="inlineStr"/>
      <c r="R24" s="10" t="inlineStr">
        <is>
          <t>Не тестировалось</t>
        </is>
      </c>
      <c r="S24" s="10" t="inlineStr">
        <is>
          <t>Рассматривать как основной мощный аудио-каскад</t>
        </is>
      </c>
      <c r="T24" s="10" t="inlineStr">
        <is>
          <t>Основной мощный аудиоканал для horn/ultrasonic experiments</t>
        </is>
      </c>
    </row>
    <row r="25" ht="36" customHeight="1">
      <c r="A25" s="8" t="n">
        <v>23</v>
      </c>
      <c r="B25" s="8" t="inlineStr">
        <is>
          <t>Фото 15</t>
        </is>
      </c>
      <c r="C25" s="8" t="inlineStr">
        <is>
          <t>Аудио</t>
        </is>
      </c>
      <c r="D25" s="8" t="inlineStr">
        <is>
          <t>Small amplifier</t>
        </is>
      </c>
      <c r="E25" s="8" t="inlineStr">
        <is>
          <t>PAM8403 / HW-104 stereo amp</t>
        </is>
      </c>
      <c r="F25" s="8" t="inlineStr">
        <is>
          <t>L / G / R, 5V +/-, OUT L, OUT R</t>
        </is>
      </c>
      <c r="G25" s="8" t="inlineStr">
        <is>
          <t>Вспомогательный аудиоканал</t>
        </is>
      </c>
      <c r="H25" s="8" t="inlineStr">
        <is>
          <t>Низкий</t>
        </is>
      </c>
      <c r="I25" s="8" t="inlineStr">
        <is>
          <t>Laboratory / исследование</t>
        </is>
      </c>
      <c r="J25" s="8" t="inlineStr">
        <is>
          <t>Под вопросом</t>
        </is>
      </c>
      <c r="K25" s="9" t="n">
        <v>1</v>
      </c>
      <c r="L25" s="8" t="inlineStr">
        <is>
          <t>шт</t>
        </is>
      </c>
      <c r="M25" s="13" t="n"/>
      <c r="N25" s="8" t="inlineStr">
        <is>
          <t>5V small amp</t>
        </is>
      </c>
      <c r="O25" s="8" t="inlineStr">
        <is>
          <t>Audio</t>
        </is>
      </c>
      <c r="P25" s="8" t="inlineStr">
        <is>
          <t>Исследовать</t>
        </is>
      </c>
      <c r="Q25" s="10" t="inlineStr"/>
      <c r="R25" s="10" t="inlineStr">
        <is>
          <t>Не тестировалось</t>
        </is>
      </c>
      <c r="S25" s="10" t="inlineStr">
        <is>
          <t>Определить, нужен ли вообще при наличии TPA3116</t>
        </is>
      </c>
      <c r="T25" s="10" t="inlineStr"/>
    </row>
    <row r="26" ht="36" customHeight="1">
      <c r="A26" s="8" t="n">
        <v>24</v>
      </c>
      <c r="B26" s="8" t="inlineStr">
        <is>
          <t>Фото 13</t>
        </is>
      </c>
      <c r="C26" s="8" t="inlineStr">
        <is>
          <t>Сервис / отладка</t>
        </is>
      </c>
      <c r="D26" s="8" t="inlineStr">
        <is>
          <t>USB↔TTL adapter</t>
        </is>
      </c>
      <c r="E26" s="8" t="inlineStr">
        <is>
          <t>CH340 USB to TTL</t>
        </is>
      </c>
      <c r="F26" s="8" t="inlineStr">
        <is>
          <t>5V / 3V3 / TXD / RXD / GND + jumper</t>
        </is>
      </c>
      <c r="G26" s="8" t="inlineStr">
        <is>
          <t>Прошивка / лог / UART-отладка</t>
        </is>
      </c>
      <c r="H26" s="8" t="inlineStr">
        <is>
          <t>Средний</t>
        </is>
      </c>
      <c r="I26" s="8" t="inlineStr">
        <is>
          <t>Laboratory / исследование</t>
        </is>
      </c>
      <c r="J26" s="8" t="inlineStr">
        <is>
          <t>Подтверждено</t>
        </is>
      </c>
      <c r="K26" s="9" t="n">
        <v>1</v>
      </c>
      <c r="L26" s="8" t="inlineStr">
        <is>
          <t>шт</t>
        </is>
      </c>
      <c r="M26" s="13" t="n"/>
      <c r="N26" s="8" t="inlineStr">
        <is>
          <t>USB↔TTL, 3.3V/5V selectable</t>
        </is>
      </c>
      <c r="O26" s="8" t="inlineStr">
        <is>
          <t>Service</t>
        </is>
      </c>
      <c r="P26" s="8" t="inlineStr">
        <is>
          <t>Исследовать</t>
        </is>
      </c>
      <c r="Q26" s="10" t="inlineStr"/>
      <c r="R26" s="10" t="inlineStr">
        <is>
          <t>Не тестировалось</t>
        </is>
      </c>
      <c r="S26" s="10" t="inlineStr">
        <is>
          <t>Это адаптер, а не автоматически драйвер для TFmini</t>
        </is>
      </c>
      <c r="T26" s="10" t="inlineStr"/>
    </row>
    <row r="27" ht="36" customHeight="1">
      <c r="A27" s="8" t="n">
        <v>25</v>
      </c>
      <c r="B27" s="8" t="inlineStr">
        <is>
          <t>Фото 14</t>
        </is>
      </c>
      <c r="C27" s="8" t="inlineStr">
        <is>
          <t>Питание</t>
        </is>
      </c>
      <c r="D27" s="8" t="inlineStr">
        <is>
          <t>Buck converter</t>
        </is>
      </c>
      <c r="E27" s="8" t="inlineStr">
        <is>
          <t>Adjustable buck, LM2596-class</t>
        </is>
      </c>
      <c r="F27" s="8" t="inlineStr">
        <is>
          <t>VIN+ / VIN- / VOUT+ / VOUT-</t>
        </is>
      </c>
      <c r="G27" s="8" t="inlineStr">
        <is>
          <t>Понижение питания</t>
        </is>
      </c>
      <c r="H27" s="8" t="inlineStr">
        <is>
          <t>Высокий</t>
        </is>
      </c>
      <c r="I27" s="8" t="inlineStr">
        <is>
          <t>Ядро Rev1</t>
        </is>
      </c>
      <c r="J27" s="8" t="inlineStr">
        <is>
          <t>Подтверждено</t>
        </is>
      </c>
      <c r="K27" s="9" t="n">
        <v>1</v>
      </c>
      <c r="L27" s="8" t="inlineStr">
        <is>
          <t>шт</t>
        </is>
      </c>
      <c r="M27" s="13" t="n"/>
      <c r="N27" s="8" t="inlineStr">
        <is>
          <t>DC-DC buck</t>
        </is>
      </c>
      <c r="O27" s="8" t="inlineStr">
        <is>
          <t>Power</t>
        </is>
      </c>
      <c r="P27" s="8" t="inlineStr">
        <is>
          <t>Да</t>
        </is>
      </c>
      <c r="Q27" s="10" t="inlineStr"/>
      <c r="R27" s="10" t="inlineStr">
        <is>
          <t>Не тестировалось</t>
        </is>
      </c>
      <c r="S27" s="10" t="inlineStr">
        <is>
          <t>Настроить и подписать роль каждого buck</t>
        </is>
      </c>
      <c r="T27" s="10" t="inlineStr"/>
    </row>
    <row r="28" ht="36" customHeight="1">
      <c r="A28" s="8" t="n">
        <v>26</v>
      </c>
      <c r="B28" s="8" t="inlineStr">
        <is>
          <t>Фото 16</t>
        </is>
      </c>
      <c r="C28" s="8" t="inlineStr">
        <is>
          <t>Питание</t>
        </is>
      </c>
      <c r="D28" s="8" t="inlineStr">
        <is>
          <t>Buck converter</t>
        </is>
      </c>
      <c r="E28" s="8" t="inlineStr">
        <is>
          <t>Adjustable buck, LM2596/MP1584-class</t>
        </is>
      </c>
      <c r="F28" s="8" t="inlineStr">
        <is>
          <t>IN+ / IN- / OUT+ / OUT-</t>
        </is>
      </c>
      <c r="G28" s="8" t="inlineStr">
        <is>
          <t>Понижение питания</t>
        </is>
      </c>
      <c r="H28" s="8" t="inlineStr">
        <is>
          <t>Высокий</t>
        </is>
      </c>
      <c r="I28" s="8" t="inlineStr">
        <is>
          <t>Ядро Rev1</t>
        </is>
      </c>
      <c r="J28" s="8" t="inlineStr">
        <is>
          <t>Подтверждено</t>
        </is>
      </c>
      <c r="K28" s="9" t="n">
        <v>1</v>
      </c>
      <c r="L28" s="8" t="inlineStr">
        <is>
          <t>шт</t>
        </is>
      </c>
      <c r="M28" s="13" t="n"/>
      <c r="N28" s="8" t="inlineStr">
        <is>
          <t>DC-DC buck</t>
        </is>
      </c>
      <c r="O28" s="8" t="inlineStr">
        <is>
          <t>Power</t>
        </is>
      </c>
      <c r="P28" s="8" t="inlineStr">
        <is>
          <t>Да</t>
        </is>
      </c>
      <c r="Q28" s="10" t="inlineStr"/>
      <c r="R28" s="10" t="inlineStr">
        <is>
          <t>Не тестировалось</t>
        </is>
      </c>
      <c r="S28" s="10" t="inlineStr">
        <is>
          <t>Настроить и подписать роль каждого buck</t>
        </is>
      </c>
      <c r="T28" s="10" t="inlineStr"/>
    </row>
    <row r="29" ht="36" customHeight="1">
      <c r="A29" s="8" t="n">
        <v>27</v>
      </c>
      <c r="B29" s="8" t="inlineStr">
        <is>
          <t>Покупка</t>
        </is>
      </c>
      <c r="C29" s="8" t="inlineStr">
        <is>
          <t>Питание / bench</t>
        </is>
      </c>
      <c r="D29" s="8" t="inlineStr">
        <is>
          <t>Lab PSU</t>
        </is>
      </c>
      <c r="E29" s="8" t="inlineStr">
        <is>
          <t>NICE-POWER dual 30V 10A, 220VAC</t>
        </is>
      </c>
      <c r="F29" s="8" t="inlineStr">
        <is>
          <t>2 независимых регулируемых канала</t>
        </is>
      </c>
      <c r="G29" s="8" t="inlineStr">
        <is>
          <t>Главный bench-источник для bring-up и безопасного ограничения тока</t>
        </is>
      </c>
      <c r="H29" s="8" t="inlineStr">
        <is>
          <t>Очень высокий</t>
        </is>
      </c>
      <c r="I29" s="8" t="inlineStr">
        <is>
          <t>Инфраструктура</t>
        </is>
      </c>
      <c r="J29" s="8" t="inlineStr">
        <is>
          <t>Подтверждено</t>
        </is>
      </c>
      <c r="K29" s="9" t="n">
        <v>1</v>
      </c>
      <c r="L29" s="8" t="inlineStr">
        <is>
          <t>шт</t>
        </is>
      </c>
      <c r="M29" s="13" t="n">
        <v>870.5599999999999</v>
      </c>
      <c r="N29" s="8" t="inlineStr">
        <is>
          <t>0–30V, bench source</t>
        </is>
      </c>
      <c r="O29" s="8" t="inlineStr">
        <is>
          <t>Bench</t>
        </is>
      </c>
      <c r="P29" s="8" t="inlineStr">
        <is>
          <t>Да</t>
        </is>
      </c>
      <c r="Q29" s="10" t="inlineStr"/>
      <c r="R29" s="10" t="inlineStr">
        <is>
          <t>ОК</t>
        </is>
      </c>
      <c r="S29" s="10" t="inlineStr">
        <is>
          <t>Назначить как основной источник для Laboratory</t>
        </is>
      </c>
      <c r="T29" s="10" t="inlineStr">
        <is>
          <t>Новая ключевая покупка</t>
        </is>
      </c>
    </row>
    <row r="30" ht="36" customHeight="1">
      <c r="A30" s="8" t="n">
        <v>28</v>
      </c>
      <c r="B30" s="8" t="inlineStr">
        <is>
          <t>Покупка</t>
        </is>
      </c>
      <c r="C30" s="8" t="inlineStr">
        <is>
          <t>Питание / автономность</t>
        </is>
      </c>
      <c r="D30" s="8" t="inlineStr">
        <is>
          <t>Battery</t>
        </is>
      </c>
      <c r="E30" s="8" t="inlineStr">
        <is>
          <t>LiFePO4 12V 100Ah with BMS</t>
        </is>
      </c>
      <c r="F30" s="8" t="inlineStr">
        <is>
          <t>силовые клеммы / встроенный BMS</t>
        </is>
      </c>
      <c r="G30" s="8" t="inlineStr">
        <is>
          <t>Основная автономная батарея платформы</t>
        </is>
      </c>
      <c r="H30" s="8" t="inlineStr">
        <is>
          <t>Очень высокий</t>
        </is>
      </c>
      <c r="I30" s="8" t="inlineStr">
        <is>
          <t>Инфраструктура</t>
        </is>
      </c>
      <c r="J30" s="8" t="inlineStr">
        <is>
          <t>Подтверждено</t>
        </is>
      </c>
      <c r="K30" s="9" t="n">
        <v>1</v>
      </c>
      <c r="L30" s="8" t="inlineStr">
        <is>
          <t>шт</t>
        </is>
      </c>
      <c r="M30" s="13" t="n">
        <v>542.85</v>
      </c>
      <c r="N30" s="8" t="inlineStr">
        <is>
          <t>12V battery system</t>
        </is>
      </c>
      <c r="O30" s="8" t="inlineStr">
        <is>
          <t>Power</t>
        </is>
      </c>
      <c r="P30" s="8" t="inlineStr">
        <is>
          <t>Да</t>
        </is>
      </c>
      <c r="Q30" s="10" t="inlineStr"/>
      <c r="R30" s="10" t="inlineStr">
        <is>
          <t>Не тестировалось</t>
        </is>
      </c>
      <c r="S30" s="10" t="inlineStr">
        <is>
          <t>Продумать силовой ввод, предохранение и распределение</t>
        </is>
      </c>
      <c r="T30" s="10" t="inlineStr">
        <is>
          <t>Новая ключевая покупка</t>
        </is>
      </c>
    </row>
    <row r="31" ht="36" customHeight="1">
      <c r="A31" s="8" t="n">
        <v>29</v>
      </c>
      <c r="B31" s="8" t="inlineStr">
        <is>
          <t>Покупка</t>
        </is>
      </c>
      <c r="C31" s="8" t="inlineStr">
        <is>
          <t>Энергетика</t>
        </is>
      </c>
      <c r="D31" s="8" t="inlineStr">
        <is>
          <t>Solar charge controller</t>
        </is>
      </c>
      <c r="E31" s="8" t="inlineStr">
        <is>
          <t>PowMr MPPT 60A, PV up to 160VDC, 12/24/36/48V</t>
        </is>
      </c>
      <c r="F31" s="8" t="inlineStr">
        <is>
          <t>PV / battery / load ports</t>
        </is>
      </c>
      <c r="G31" s="8" t="inlineStr">
        <is>
          <t>Энергетическая платформа, заряд и силовая инфраструктура</t>
        </is>
      </c>
      <c r="H31" s="8" t="inlineStr">
        <is>
          <t>Средний</t>
        </is>
      </c>
      <c r="I31" s="8" t="inlineStr">
        <is>
          <t>Инфраструктура</t>
        </is>
      </c>
      <c r="J31" s="8" t="inlineStr">
        <is>
          <t>Подтверждено</t>
        </is>
      </c>
      <c r="K31" s="9" t="n">
        <v>1</v>
      </c>
      <c r="L31" s="8" t="inlineStr">
        <is>
          <t>шт</t>
        </is>
      </c>
      <c r="M31" s="13" t="n"/>
      <c r="N31" s="8" t="inlineStr">
        <is>
          <t>PV + battery infrastructure</t>
        </is>
      </c>
      <c r="O31" s="8" t="inlineStr">
        <is>
          <t>Power</t>
        </is>
      </c>
      <c r="P31" s="8" t="inlineStr">
        <is>
          <t>Позже</t>
        </is>
      </c>
      <c r="Q31" s="10" t="inlineStr"/>
      <c r="R31" s="10" t="inlineStr">
        <is>
          <t>Не тестировалось</t>
        </is>
      </c>
      <c r="S31" s="10" t="inlineStr">
        <is>
          <t>Для общей энергосистемы, не обязателен для первой bench-сборки</t>
        </is>
      </c>
      <c r="T31" s="10" t="inlineStr"/>
    </row>
    <row r="32" ht="36" customHeight="1">
      <c r="A32" s="8" t="n">
        <v>30</v>
      </c>
      <c r="B32" s="8" t="inlineStr">
        <is>
          <t>Покупка</t>
        </is>
      </c>
      <c r="C32" s="8" t="inlineStr">
        <is>
          <t>Дискретка</t>
        </is>
      </c>
      <c r="D32" s="8" t="inlineStr">
        <is>
          <t>Zener kit</t>
        </is>
      </c>
      <c r="E32" s="8" t="inlineStr">
        <is>
          <t>DO-41 1W Zener diode kit, 3V–30V, 150 pcs</t>
        </is>
      </c>
      <c r="F32" s="8" t="inlineStr">
        <is>
          <t>разные зенер-диоды</t>
        </is>
      </c>
      <c r="G32" s="8" t="inlineStr">
        <is>
          <t>Лабораторные эксперименты, ограничение, reference circuits</t>
        </is>
      </c>
      <c r="H32" s="8" t="inlineStr">
        <is>
          <t>Средний</t>
        </is>
      </c>
      <c r="I32" s="8" t="inlineStr">
        <is>
          <t>Инфраструктура</t>
        </is>
      </c>
      <c r="J32" s="8" t="inlineStr">
        <is>
          <t>Подтверждено</t>
        </is>
      </c>
      <c r="K32" s="9" t="n">
        <v>150</v>
      </c>
      <c r="L32" s="8" t="inlineStr">
        <is>
          <t>pcs</t>
        </is>
      </c>
      <c r="M32" s="13" t="n"/>
      <c r="N32" s="8" t="inlineStr">
        <is>
          <t>1W zener assortment</t>
        </is>
      </c>
      <c r="O32" s="8" t="inlineStr">
        <is>
          <t>Stock</t>
        </is>
      </c>
      <c r="P32" s="8" t="inlineStr">
        <is>
          <t>Да</t>
        </is>
      </c>
      <c r="Q32" s="10" t="inlineStr"/>
      <c r="R32" s="10" t="inlineStr">
        <is>
          <t>Не тестировалось</t>
        </is>
      </c>
      <c r="S32" s="10" t="inlineStr">
        <is>
          <t>Не считать заменой силовым flyback-диодам</t>
        </is>
      </c>
      <c r="T32" s="10" t="inlineStr"/>
    </row>
    <row r="33" ht="36" customHeight="1">
      <c r="A33" s="8" t="n">
        <v>31</v>
      </c>
      <c r="B33" s="8" t="inlineStr">
        <is>
          <t>Покупка</t>
        </is>
      </c>
      <c r="C33" s="8" t="inlineStr">
        <is>
          <t>Дискретка</t>
        </is>
      </c>
      <c r="D33" s="8" t="inlineStr">
        <is>
          <t>Resistor kit</t>
        </is>
      </c>
      <c r="E33" s="8" t="inlineStr">
        <is>
          <t>1100 pcs, 1/2W, 1%, 0.1Ω–2.2MΩ</t>
        </is>
      </c>
      <c r="F33" s="8" t="inlineStr">
        <is>
          <t>ассорти резисторов</t>
        </is>
      </c>
      <c r="G33" s="8" t="inlineStr">
        <is>
          <t>Подтяжки, делители, gate resistors, тестовые цепи</t>
        </is>
      </c>
      <c r="H33" s="8" t="inlineStr">
        <is>
          <t>Очень высокий</t>
        </is>
      </c>
      <c r="I33" s="8" t="inlineStr">
        <is>
          <t>Инфраструктура</t>
        </is>
      </c>
      <c r="J33" s="8" t="inlineStr">
        <is>
          <t>Подтверждено</t>
        </is>
      </c>
      <c r="K33" s="9" t="n">
        <v>1100</v>
      </c>
      <c r="L33" s="8" t="inlineStr">
        <is>
          <t>pcs</t>
        </is>
      </c>
      <c r="M33" s="10" t="n"/>
      <c r="N33" s="8" t="inlineStr">
        <is>
          <t>0.5W resistor assortment</t>
        </is>
      </c>
      <c r="O33" s="8" t="inlineStr">
        <is>
          <t>Stock</t>
        </is>
      </c>
      <c r="P33" s="8" t="inlineStr">
        <is>
          <t>Да</t>
        </is>
      </c>
      <c r="Q33" s="10" t="inlineStr"/>
      <c r="R33" s="10" t="inlineStr">
        <is>
          <t>ОК</t>
        </is>
      </c>
      <c r="S33" s="10" t="inlineStr">
        <is>
          <t>Базовый складской расходник</t>
        </is>
      </c>
      <c r="T33" s="10" t="inlineStr"/>
    </row>
    <row r="34">
      <c r="A34" t="n">
        <v>32</v>
      </c>
      <c r="B34" t="inlineStr">
        <is>
          <t>Покупка</t>
        </is>
      </c>
      <c r="C34" t="inlineStr">
        <is>
          <t>Аудио</t>
        </is>
      </c>
      <c r="D34" t="inlineStr">
        <is>
          <t>Bluetooth speaker</t>
        </is>
      </c>
      <c r="E34" t="inlineStr">
        <is>
          <t>Soundcore Motion 300 Wireless Hi-Res Portable Speaker Bluetooth</t>
        </is>
      </c>
      <c r="F34" t="inlineStr">
        <is>
          <t>Bluetooth audio, USB-C power/charge, built-in microphone</t>
        </is>
      </c>
      <c r="G34" t="inlineStr">
        <is>
          <t>voice_fx / voice audio Bluetooth path</t>
        </is>
      </c>
      <c r="H34" t="inlineStr">
        <is>
          <t>Средний</t>
        </is>
      </c>
      <c r="I34" t="inlineStr">
        <is>
          <t>Ядро Rev1</t>
        </is>
      </c>
      <c r="J34" t="inlineStr">
        <is>
          <t>Подтверждено</t>
        </is>
      </c>
      <c r="K34" t="n">
        <v>1</v>
      </c>
      <c r="L34" t="inlineStr">
        <is>
          <t>шт</t>
        </is>
      </c>
      <c r="N34" t="inlineStr">
        <is>
          <t>USB-C power + Bluetooth</t>
        </is>
      </c>
      <c r="O34" t="inlineStr">
        <is>
          <t>Raspberry Pi</t>
        </is>
      </c>
      <c r="P34" t="inlineStr">
        <is>
          <t>Да</t>
        </is>
      </c>
      <c r="Q34" t="inlineStr"/>
      <c r="R34" t="inlineStr">
        <is>
          <t>Не тестировалось</t>
        </is>
      </c>
      <c r="S34" t="inlineStr">
        <is>
          <t>Подтвердить автопереподключение к Raspberry Pi и fallback к ESP32</t>
        </is>
      </c>
      <c r="T34" t="inlineStr">
        <is>
          <t>Физически в наличии</t>
        </is>
      </c>
    </row>
    <row r="35">
      <c r="A35" t="n">
        <v>33</v>
      </c>
      <c r="B35" t="inlineStr">
        <is>
          <t>Покупка</t>
        </is>
      </c>
      <c r="C35" t="inlineStr">
        <is>
          <t>Интерфейсный модуль</t>
        </is>
      </c>
      <c r="D35" t="inlineStr">
        <is>
          <t>Servo driver</t>
        </is>
      </c>
      <c r="E35" t="inlineStr">
        <is>
          <t>16 Channel Servo Driver PCA9685 PWM Module I2C Control</t>
        </is>
      </c>
      <c r="F35" t="inlineStr">
        <is>
          <t>I2C SDA/SCL + VCC/GND + 16 PWM outputs</t>
        </is>
      </c>
      <c r="G35" t="inlineStr">
        <is>
          <t>Servo driver для MG996R turret motion</t>
        </is>
      </c>
      <c r="H35" t="inlineStr">
        <is>
          <t>Высокий</t>
        </is>
      </c>
      <c r="I35" t="inlineStr">
        <is>
          <t>Ядро Rev1</t>
        </is>
      </c>
      <c r="J35" t="inlineStr">
        <is>
          <t>Подтверждено</t>
        </is>
      </c>
      <c r="K35" t="n">
        <v>1</v>
      </c>
      <c r="L35" t="inlineStr">
        <is>
          <t>шт</t>
        </is>
      </c>
      <c r="N35" t="inlineStr">
        <is>
          <t>I2C logic + separate servo rail</t>
        </is>
      </c>
      <c r="O35" t="inlineStr">
        <is>
          <t>Raspberry Pi</t>
        </is>
      </c>
      <c r="P35" t="inlineStr">
        <is>
          <t>Да</t>
        </is>
      </c>
      <c r="Q35" t="inlineStr"/>
      <c r="R35" t="inlineStr">
        <is>
          <t>Не тестировалось</t>
        </is>
      </c>
      <c r="S35" t="inlineStr">
        <is>
          <t>Поднять I2C и привязать MG996R через отдельный servo rail</t>
        </is>
      </c>
      <c r="T35" t="inlineStr">
        <is>
          <t>Докуплен для turret motion</t>
        </is>
      </c>
    </row>
    <row r="36">
      <c r="A36" t="n">
        <v>34</v>
      </c>
      <c r="B36" t="inlineStr">
        <is>
          <t>Покупка</t>
        </is>
      </c>
      <c r="C36" t="inlineStr">
        <is>
          <t>Хранение / storage</t>
        </is>
      </c>
      <c r="D36" t="inlineStr">
        <is>
          <t>SD card module</t>
        </is>
      </c>
      <c r="E36" t="inlineStr">
        <is>
          <t>TF Micro SD Card Module Mini SD Card Module Memory Module for Arduino ARM AVR</t>
        </is>
      </c>
      <c r="F36" t="inlineStr">
        <is>
          <t>SPI: CS / SCK / MOSI / MISO + VCC / GND</t>
        </is>
      </c>
      <c r="G36" t="inlineStr">
        <is>
          <t>Расширение хранения ESP32 для тяжелых файлов и резервного копирования turret-sync артефактов</t>
        </is>
      </c>
      <c r="H36" t="inlineStr">
        <is>
          <t>Высокий</t>
        </is>
      </c>
      <c r="I36" t="inlineStr">
        <is>
          <t>Ядро Rev1</t>
        </is>
      </c>
      <c r="J36" t="inlineStr">
        <is>
          <t>Подтверждено</t>
        </is>
      </c>
      <c r="K36" t="n">
        <v>1</v>
      </c>
      <c r="L36" t="inlineStr">
        <is>
          <t>шт</t>
        </is>
      </c>
      <c r="N36" t="inlineStr">
        <is>
          <t>3.3V logic / SPI module</t>
        </is>
      </c>
      <c r="O36" t="inlineStr">
        <is>
          <t>ESP32</t>
        </is>
      </c>
      <c r="P36" t="inlineStr">
        <is>
          <t>Да</t>
        </is>
      </c>
      <c r="Q36" t="inlineStr"/>
      <c r="R36" t="inlineStr">
        <is>
          <t>Не тестировалось</t>
        </is>
      </c>
      <c r="S36" t="inlineStr">
        <is>
          <t>Зафиксировать pinout и throughput на ESP32</t>
        </is>
      </c>
      <c r="T36" t="inlineStr">
        <is>
          <t>Нужен из-за малого объема памяти ESP32</t>
        </is>
      </c>
    </row>
    <row r="37">
      <c r="A37" t="n">
        <v>35</v>
      </c>
      <c r="B37" t="inlineStr">
        <is>
          <t>Покупка</t>
        </is>
      </c>
      <c r="C37" t="inlineStr">
        <is>
          <t>Дискретка</t>
        </is>
      </c>
      <c r="D37" t="inlineStr">
        <is>
          <t>Flyback diodes</t>
        </is>
      </c>
      <c r="E37" t="inlineStr">
        <is>
          <t>Навесные диоды для flyback-защиты, точные номиналы уточнить</t>
        </is>
      </c>
      <c r="F37" t="inlineStr">
        <is>
          <t>through-hole protection diodes</t>
        </is>
      </c>
      <c r="G37" t="inlineStr">
        <is>
          <t>Защита насосов, клапанов и катушек</t>
        </is>
      </c>
      <c r="H37" t="inlineStr">
        <is>
          <t>Очень высокий</t>
        </is>
      </c>
      <c r="I37" t="inlineStr">
        <is>
          <t>Инфраструктура</t>
        </is>
      </c>
      <c r="J37" t="inlineStr">
        <is>
          <t>Подтверждено</t>
        </is>
      </c>
      <c r="K37" t="n">
        <v>1</v>
      </c>
      <c r="L37" t="inlineStr">
        <is>
          <t>набор</t>
        </is>
      </c>
      <c r="N37" t="inlineStr">
        <is>
          <t>Protection / suppression</t>
        </is>
      </c>
      <c r="O37" t="inlineStr">
        <is>
          <t>Power</t>
        </is>
      </c>
      <c r="P37" t="inlineStr">
        <is>
          <t>Да</t>
        </is>
      </c>
      <c r="Q37" t="inlineStr"/>
      <c r="R37" t="inlineStr">
        <is>
          <t>Не тестировалось</t>
        </is>
      </c>
      <c r="S37" t="inlineStr">
        <is>
          <t>Сверить ток/VRRM и placement у каждого реального load-path</t>
        </is>
      </c>
      <c r="T37" t="inlineStr">
        <is>
          <t>Закрывает закупочный gap, но не отменяет электрическую верификацию</t>
        </is>
      </c>
    </row>
  </sheetData>
  <mergeCells count="1">
    <mergeCell ref="A1:T1"/>
  </mergeCells>
  <conditionalFormatting sqref="A3:T33">
    <cfRule type="expression" priority="1" dxfId="0">
      <formula>$J3="Нужно уточнить"</formula>
    </cfRule>
    <cfRule type="expression" priority="2" dxfId="1">
      <formula>$J3="Под вопросом"</formula>
    </cfRule>
    <cfRule type="expression" priority="3" dxfId="2">
      <formula>$J3="Отложено"</formula>
    </cfRule>
    <cfRule type="expression" priority="4" dxfId="3">
      <formula>$J3="Подтверждено"</formula>
    </cfRule>
  </conditionalFormatting>
  <dataValidations count="5">
    <dataValidation sqref="H3:H33" showDropDown="0" showInputMessage="0" showErrorMessage="0" allowBlank="1" type="list">
      <formula1>=Lists!$A$2:$A$5</formula1>
    </dataValidation>
    <dataValidation sqref="I3:I33" showDropDown="0" showInputMessage="0" showErrorMessage="0" allowBlank="1" type="list">
      <formula1>=Lists!$B$2:$B$5</formula1>
    </dataValidation>
    <dataValidation sqref="J3:J33" showDropDown="0" showInputMessage="0" showErrorMessage="0" allowBlank="1" type="list">
      <formula1>=Lists!$C$2:$C$5</formula1>
    </dataValidation>
    <dataValidation sqref="P3:P33" showDropDown="0" showInputMessage="0" showErrorMessage="0" allowBlank="1" type="list">
      <formula1>=Lists!$D$2:$D$5</formula1>
    </dataValidation>
    <dataValidation sqref="R3:R33" showDropDown="0" showInputMessage="0" showErrorMessage="0" allowBlank="1" type="list">
      <formula1>=Lists!$E$2:$E$5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8" customWidth="1" min="4" max="4"/>
    <col width="35" customWidth="1" min="5" max="5"/>
    <col width="40" customWidth="1" min="6" max="6"/>
  </cols>
  <sheetData>
    <row r="1">
      <c r="A1" s="1" t="inlineStr">
        <is>
          <t>Питание и силовые рельсы</t>
        </is>
      </c>
    </row>
    <row r="2">
      <c r="A2" s="4" t="inlineStr">
        <is>
          <t>Рельс</t>
        </is>
      </c>
      <c r="B2" s="4" t="inlineStr">
        <is>
          <t>Номинал</t>
        </is>
      </c>
      <c r="C2" s="4" t="inlineStr">
        <is>
          <t>Источник</t>
        </is>
      </c>
      <c r="D2" s="4" t="inlineStr">
        <is>
          <t>Тип нагрузки</t>
        </is>
      </c>
      <c r="E2" s="4" t="inlineStr">
        <is>
          <t>Потребители</t>
        </is>
      </c>
      <c r="F2" s="4" t="inlineStr">
        <is>
          <t>Примечание</t>
        </is>
      </c>
    </row>
    <row r="3" ht="34" customHeight="1">
      <c r="A3" s="3" t="inlineStr">
        <is>
          <t>Bench variable</t>
        </is>
      </c>
      <c r="B3" s="3" t="inlineStr">
        <is>
          <t>0–30V</t>
        </is>
      </c>
      <c r="C3" s="3" t="inlineStr">
        <is>
          <t>NICE-POWER dual PSU</t>
        </is>
      </c>
      <c r="D3" s="3" t="inlineStr">
        <is>
          <t>Laboratory / bring-up</t>
        </is>
      </c>
      <c r="E3" s="3" t="inlineStr">
        <is>
          <t>Неизвестные модули, насосы, строб, аудио на стадии теста</t>
        </is>
      </c>
      <c r="F3" s="3" t="inlineStr">
        <is>
          <t>Главный безопасный источник с ограничением тока</t>
        </is>
      </c>
    </row>
    <row r="4" ht="34" customHeight="1">
      <c r="A4" s="3" t="inlineStr">
        <is>
          <t>Battery main</t>
        </is>
      </c>
      <c r="B4" s="3" t="inlineStr">
        <is>
          <t>12V nominal</t>
        </is>
      </c>
      <c r="C4" s="3" t="inlineStr">
        <is>
          <t>LiFePO4 12V 100Ah</t>
        </is>
      </c>
      <c r="D4" s="3" t="inlineStr">
        <is>
          <t>Автономная силовая шина</t>
        </is>
      </c>
      <c r="E4" s="3" t="inlineStr">
        <is>
          <t>Насосы, buck-конвертеры, поздние силовые каскады</t>
        </is>
      </c>
      <c r="F4" s="3" t="inlineStr">
        <is>
          <t>Продумать fuse и силовое распределение</t>
        </is>
      </c>
    </row>
    <row r="5" ht="34" customHeight="1">
      <c r="A5" s="3" t="inlineStr">
        <is>
          <t>5V Pi rail</t>
        </is>
      </c>
      <c r="B5" s="3" t="inlineStr">
        <is>
          <t>5.1V</t>
        </is>
      </c>
      <c r="C5" s="3" t="inlineStr">
        <is>
          <t>Отдельный buck / bench</t>
        </is>
      </c>
      <c r="D5" s="3" t="inlineStr">
        <is>
          <t>Чистая логика</t>
        </is>
      </c>
      <c r="E5" s="3" t="inlineStr">
        <is>
          <t>Raspberry Pi 5, CSI camera, TFmini Plus, PCA9685 logic</t>
        </is>
      </c>
      <c r="F5" s="3" t="inlineStr">
        <is>
          <t>Логика Pi; servo power вести отдельным rail</t>
        </is>
      </c>
    </row>
    <row r="6" ht="34" customHeight="1">
      <c r="A6" s="3" t="inlineStr">
        <is>
          <t>ESP32 logic rail</t>
        </is>
      </c>
      <c r="B6" s="3" t="inlineStr">
        <is>
          <t>5V in / 3.3V logic</t>
        </is>
      </c>
      <c r="C6" s="3" t="inlineStr">
        <is>
          <t>Отдельный buck / USB-C</t>
        </is>
      </c>
      <c r="D6" s="3" t="inlineStr">
        <is>
          <t>Логика ESP32</t>
        </is>
      </c>
      <c r="E6" s="3" t="inlineStr">
        <is>
          <t>ESP32, BH1750, DHT22, soil sensor, SD card module</t>
        </is>
      </c>
      <c r="F6" s="3" t="inlineStr">
        <is>
          <t>Следить за уровнями аналоговых выходов и SPI SD module</t>
        </is>
      </c>
    </row>
    <row r="7" ht="34" customHeight="1">
      <c r="A7" s="3" t="inlineStr">
        <is>
          <t>Servo rail</t>
        </is>
      </c>
      <c r="B7" s="3" t="inlineStr">
        <is>
          <t>5–6V</t>
        </is>
      </c>
      <c r="C7" s="3" t="inlineStr">
        <is>
          <t>Отдельный buck / bench</t>
        </is>
      </c>
      <c r="D7" s="3" t="inlineStr">
        <is>
          <t>Серво-питание</t>
        </is>
      </c>
      <c r="E7" s="3" t="inlineStr">
        <is>
          <t>MG996R</t>
        </is>
      </c>
      <c r="F7" s="3" t="inlineStr">
        <is>
          <t>Не питать сервы от Raspberry Pi</t>
        </is>
      </c>
    </row>
    <row r="8" ht="34" customHeight="1">
      <c r="A8" s="3" t="inlineStr">
        <is>
          <t>12V motor rail</t>
        </is>
      </c>
      <c r="B8" s="3" t="inlineStr">
        <is>
          <t>12V</t>
        </is>
      </c>
      <c r="C8" s="3" t="inlineStr">
        <is>
          <t>Battery / bench</t>
        </is>
      </c>
      <c r="D8" s="3" t="inlineStr">
        <is>
          <t>Силовые нагрузки</t>
        </is>
      </c>
      <c r="E8" s="3" t="inlineStr">
        <is>
          <t>SEAFLO turret sprayer path, peristaltic irrigation pump через MOSFET</t>
        </is>
      </c>
      <c r="F8" s="3" t="inlineStr">
        <is>
          <t>Нужны flyback-диоды и ограничение тока при первых тестах</t>
        </is>
      </c>
    </row>
    <row r="9" ht="34" customHeight="1">
      <c r="A9" s="3" t="inlineStr">
        <is>
          <t>LED current rail</t>
        </is>
      </c>
      <c r="B9" s="3" t="inlineStr">
        <is>
          <t>По драйверу</t>
        </is>
      </c>
      <c r="C9" s="3" t="inlineStr">
        <is>
          <t>LED driver 50W</t>
        </is>
      </c>
      <c r="D9" s="3" t="inlineStr">
        <is>
          <t>Постоянный ток для LED</t>
        </is>
      </c>
      <c r="E9" s="3" t="inlineStr">
        <is>
          <t>High-power strobe LED</t>
        </is>
      </c>
      <c r="F9" s="3" t="inlineStr">
        <is>
          <t>Турельный strobe-channel; bench qualification через NICE-POWER и driver</t>
        </is>
      </c>
    </row>
    <row r="10" ht="34" customHeight="1">
      <c r="A10" s="3" t="inlineStr">
        <is>
          <t>Audio power rail</t>
        </is>
      </c>
      <c r="B10" s="3" t="inlineStr">
        <is>
          <t>12V/24V</t>
        </is>
      </c>
      <c r="C10" s="3" t="inlineStr">
        <is>
          <t>Bench / battery later</t>
        </is>
      </c>
      <c r="D10" s="3" t="inlineStr">
        <is>
          <t>Мощный аудиоканал</t>
        </is>
      </c>
      <c r="E10" s="3" t="inlineStr">
        <is>
          <t>TPA3116D2 XH-M543 + horn</t>
        </is>
      </c>
      <c r="F10" s="3" t="inlineStr">
        <is>
          <t>Поздний каскад, не для первого bring-up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34" customWidth="1" min="4" max="4"/>
    <col width="22" customWidth="1" min="5" max="5"/>
  </cols>
  <sheetData>
    <row r="1">
      <c r="A1" s="1" t="inlineStr">
        <is>
          <t>Laboratory — универсальный workflow для неизвестного модуля</t>
        </is>
      </c>
    </row>
    <row r="2">
      <c r="A2" s="4" t="inlineStr">
        <is>
          <t>Шаг</t>
        </is>
      </c>
      <c r="B2" s="4" t="inlineStr">
        <is>
          <t>Цель</t>
        </is>
      </c>
      <c r="C2" s="4" t="inlineStr">
        <is>
          <t>Что записать в Inventory</t>
        </is>
      </c>
      <c r="D2" s="4" t="inlineStr">
        <is>
          <t>Правило безопасности</t>
        </is>
      </c>
      <c r="E2" s="4" t="inlineStr">
        <is>
          <t>Результат</t>
        </is>
      </c>
    </row>
    <row r="3">
      <c r="A3" s="3" t="n">
        <v>1</v>
      </c>
      <c r="B3" s="3" t="inlineStr">
        <is>
          <t>Сделать фото и снять маркировку</t>
        </is>
      </c>
      <c r="C3" s="3" t="inlineStr">
        <is>
          <t>Источник, модель, группа</t>
        </is>
      </c>
      <c r="D3" s="3" t="inlineStr">
        <is>
          <t>Ничего не подключать до идентификации</t>
        </is>
      </c>
      <c r="E3" s="3" t="inlineStr">
        <is>
          <t>Есть карточка модуля в Inventory</t>
        </is>
      </c>
    </row>
    <row r="4">
      <c r="A4" s="3" t="n">
        <v>2</v>
      </c>
      <c r="B4" s="3" t="inlineStr">
        <is>
          <t>Оценить тип модуля</t>
        </is>
      </c>
      <c r="C4" s="3" t="inlineStr">
        <is>
          <t>Интерфейс / pinout / предположение по напряжению</t>
        </is>
      </c>
      <c r="D4" s="3" t="inlineStr">
        <is>
          <t>Если питание неизвестно — только через лабораторник и с ограничением тока</t>
        </is>
      </c>
      <c r="E4" s="3" t="inlineStr">
        <is>
          <t>Есть безопасная гипотеза по питанию</t>
        </is>
      </c>
    </row>
    <row r="5">
      <c r="A5" s="3" t="n">
        <v>3</v>
      </c>
      <c r="B5" s="3" t="inlineStr">
        <is>
          <t>Проверить распиновку</t>
        </is>
      </c>
      <c r="C5" s="3" t="inlineStr">
        <is>
          <t>Pinout, цвет проводов, разъёмы</t>
        </is>
      </c>
      <c r="D5" s="3" t="inlineStr">
        <is>
          <t>Не подавать 5V сигнал в 3.3V GPIO</t>
        </is>
      </c>
      <c r="E5" s="3" t="inlineStr">
        <is>
          <t>Понята логика подключения</t>
        </is>
      </c>
    </row>
    <row r="6">
      <c r="A6" s="3" t="n">
        <v>4</v>
      </c>
      <c r="B6" s="3" t="inlineStr">
        <is>
          <t>Пробный запуск</t>
        </is>
      </c>
      <c r="C6" s="3" t="inlineStr">
        <is>
          <t>Тест, ток, напряжение, реакция</t>
        </is>
      </c>
      <c r="D6" s="3" t="inlineStr">
        <is>
          <t>Начинать с малого напряжения и ограниченного тока</t>
        </is>
      </c>
      <c r="E6" s="3" t="inlineStr">
        <is>
          <t>Есть первичное поведение</t>
        </is>
      </c>
    </row>
    <row r="7">
      <c r="A7" s="3" t="n">
        <v>5</v>
      </c>
      <c r="B7" s="3" t="inlineStr">
        <is>
          <t>Считать сигнал / реакцию</t>
        </is>
      </c>
      <c r="C7" s="3" t="inlineStr">
        <is>
          <t>Тестовый интерфейс и результаты</t>
        </is>
      </c>
      <c r="D7" s="3" t="inlineStr">
        <is>
          <t>UART/I2C/ADC только после общей земли и проверки уровней</t>
        </is>
      </c>
      <c r="E7" s="3" t="inlineStr">
        <is>
          <t>Понято, как читать модуль</t>
        </is>
      </c>
    </row>
    <row r="8">
      <c r="A8" s="3" t="n">
        <v>6</v>
      </c>
      <c r="B8" s="3" t="inlineStr">
        <is>
          <t>Классифицировать модуль</t>
        </is>
      </c>
      <c r="C8" s="3" t="inlineStr">
        <is>
          <t>Фаза, статус, Rev1</t>
        </is>
      </c>
      <c r="D8" s="3" t="inlineStr">
        <is>
          <t>Не переводить в ядро Rev1 без базового теста</t>
        </is>
      </c>
      <c r="E8" s="3" t="inlineStr">
        <is>
          <t>Модуль отнесен к нужной фазе</t>
        </is>
      </c>
    </row>
    <row r="9">
      <c r="A9" s="3" t="n">
        <v>7</v>
      </c>
      <c r="B9" s="3" t="inlineStr">
        <is>
          <t>Зафиксировать action</t>
        </is>
      </c>
      <c r="C9" s="3" t="inlineStr">
        <is>
          <t>Рекомендуемое действие, заметки</t>
        </is>
      </c>
      <c r="D9" s="3" t="inlineStr">
        <is>
          <t>Если модуль спорный — держать в Laboratory / исследование</t>
        </is>
      </c>
      <c r="E9" s="3" t="inlineStr">
        <is>
          <t>Есть следующее инженерное действие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14" customWidth="1" min="4" max="4"/>
    <col width="22" customWidth="1" min="5" max="5"/>
  </cols>
  <sheetData>
    <row r="1">
      <c r="A1" s="1" t="inlineStr">
        <is>
          <t>Не подтверждено в наличии / рекомендуется докупить / нужно верифицировать</t>
        </is>
      </c>
    </row>
    <row r="2">
      <c r="A2" s="4" t="inlineStr">
        <is>
          <t>Компонент</t>
        </is>
      </c>
      <c r="B2" s="4" t="inlineStr">
        <is>
          <t>Почему нужен</t>
        </is>
      </c>
      <c r="C2" s="4" t="inlineStr">
        <is>
          <t>Для какого каскада</t>
        </is>
      </c>
      <c r="D2" s="4" t="inlineStr">
        <is>
          <t>Приоритет</t>
        </is>
      </c>
      <c r="E2" s="4" t="inlineStr">
        <is>
          <t>Статус</t>
        </is>
      </c>
    </row>
    <row r="3">
      <c r="A3" s="3" t="inlineStr">
        <is>
          <t>HC-SR04 / improved analog ultrasonic range module</t>
        </is>
      </c>
      <c r="B3" s="3" t="inlineStr">
        <is>
          <t>Нужен второй дальномерный профиль для Laboratory и дешевого bench-range testing вместе с TFmini Plus</t>
        </is>
      </c>
      <c r="C3" s="3" t="inlineStr">
        <is>
          <t>Laboratory / range sensing</t>
        </is>
      </c>
      <c r="D3" s="3" t="inlineStr">
        <is>
          <t>Высокий</t>
        </is>
      </c>
      <c r="E3" s="3" t="inlineStr">
        <is>
          <t>Нужно докупить / подтвердить</t>
        </is>
      </c>
    </row>
    <row r="4">
      <c r="A4" s="3" t="inlineStr">
        <is>
          <t>Stepper driver (A4988 / DRV8825 / аналог)</t>
        </is>
      </c>
      <c r="B4" s="3" t="inlineStr">
        <is>
          <t>Нужен для любого шагового двигателя</t>
        </is>
      </c>
      <c r="C4" s="3" t="inlineStr">
        <is>
          <t>Laboratory / приводы</t>
        </is>
      </c>
      <c r="D4" s="3" t="inlineStr">
        <is>
          <t>Высокий</t>
        </is>
      </c>
      <c r="E4" s="3" t="inlineStr">
        <is>
          <t>Не подтверждено</t>
        </is>
      </c>
    </row>
    <row r="5">
      <c r="A5" s="3" t="inlineStr">
        <is>
          <t>Квалификация flyback-диодов под реальные токи</t>
        </is>
      </c>
      <c r="B5" s="3" t="inlineStr">
        <is>
          <t>Диоды уже закуплены, но нужно подтвердить ток, VRRM и placement на реальных насосах/клапанах</t>
        </is>
      </c>
      <c r="C5" s="3" t="inlineStr">
        <is>
          <t>Power / hydraulics</t>
        </is>
      </c>
      <c r="D5" s="3" t="inlineStr">
        <is>
          <t>Очень высокий</t>
        </is>
      </c>
      <c r="E5" s="3" t="inlineStr">
        <is>
          <t>Закуплено, верифицировать</t>
        </is>
      </c>
    </row>
    <row r="6">
      <c r="A6" s="3" t="inlineStr">
        <is>
          <t>Fuse / holder / power protection</t>
        </is>
      </c>
      <c r="B6" s="3" t="inlineStr">
        <is>
          <t>Для батареи и силовых рельсов</t>
        </is>
      </c>
      <c r="C6" s="3" t="inlineStr">
        <is>
          <t>Power distribution</t>
        </is>
      </c>
      <c r="D6" s="3" t="inlineStr">
        <is>
          <t>Очень высокий</t>
        </is>
      </c>
      <c r="E6" s="3" t="inlineStr">
        <is>
          <t>Нужно докупить / подтвердить</t>
        </is>
      </c>
    </row>
    <row r="7">
      <c r="A7" s="3" t="inlineStr">
        <is>
          <t>JST / terminal / wire adapters</t>
        </is>
      </c>
      <c r="B7" s="3" t="inlineStr">
        <is>
          <t>Для чистой сборки и повторяемой трассировки</t>
        </is>
      </c>
      <c r="C7" s="3" t="inlineStr">
        <is>
          <t>Assembly / workshop</t>
        </is>
      </c>
      <c r="D7" s="3" t="inlineStr">
        <is>
          <t>Средний</t>
        </is>
      </c>
      <c r="E7" s="3" t="inlineStr">
        <is>
          <t>Нужно докупить / подтвердить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Priority</t>
        </is>
      </c>
      <c r="B1" t="inlineStr">
        <is>
          <t>Phase</t>
        </is>
      </c>
      <c r="C1" t="inlineStr">
        <is>
          <t>Status</t>
        </is>
      </c>
      <c r="D1" t="inlineStr">
        <is>
          <t>Rev1</t>
        </is>
      </c>
      <c r="E1" t="inlineStr">
        <is>
          <t>Test</t>
        </is>
      </c>
      <c r="F1" t="inlineStr">
        <is>
          <t>Group</t>
        </is>
      </c>
    </row>
    <row r="2">
      <c r="A2" t="inlineStr">
        <is>
          <t>Очень высокий</t>
        </is>
      </c>
      <c r="B2" t="inlineStr">
        <is>
          <t>Ядро Rev1</t>
        </is>
      </c>
      <c r="C2" t="inlineStr">
        <is>
          <t>Подтверждено</t>
        </is>
      </c>
      <c r="D2" t="inlineStr">
        <is>
          <t>Да</t>
        </is>
      </c>
      <c r="E2" t="inlineStr">
        <is>
          <t>Не тестировалось</t>
        </is>
      </c>
      <c r="F2" t="inlineStr">
        <is>
          <t>Контроллер</t>
        </is>
      </c>
    </row>
    <row r="3">
      <c r="A3" t="inlineStr">
        <is>
          <t>Высокий</t>
        </is>
      </c>
      <c r="B3" t="inlineStr">
        <is>
          <t>Laboratory / исследование</t>
        </is>
      </c>
      <c r="C3" t="inlineStr">
        <is>
          <t>Нужно уточнить</t>
        </is>
      </c>
      <c r="D3" t="inlineStr">
        <is>
          <t>Нет</t>
        </is>
      </c>
      <c r="E3" t="inlineStr">
        <is>
          <t>Частично</t>
        </is>
      </c>
      <c r="F3" t="inlineStr">
        <is>
          <t>Камера</t>
        </is>
      </c>
    </row>
    <row r="4">
      <c r="A4" t="inlineStr">
        <is>
          <t>Средний</t>
        </is>
      </c>
      <c r="B4" t="inlineStr">
        <is>
          <t>Поздний силовой каскад</t>
        </is>
      </c>
      <c r="C4" t="inlineStr">
        <is>
          <t>Под вопросом</t>
        </is>
      </c>
      <c r="D4" t="inlineStr">
        <is>
          <t>Исследовать</t>
        </is>
      </c>
      <c r="E4" t="inlineStr">
        <is>
          <t>ОК</t>
        </is>
      </c>
      <c r="F4" t="inlineStr">
        <is>
          <t>Дальномер</t>
        </is>
      </c>
    </row>
    <row r="5">
      <c r="A5" t="inlineStr">
        <is>
          <t>Низкий</t>
        </is>
      </c>
      <c r="B5" t="inlineStr">
        <is>
          <t>Инфраструктура</t>
        </is>
      </c>
      <c r="C5" t="inlineStr">
        <is>
          <t>Отложено</t>
        </is>
      </c>
      <c r="D5" t="inlineStr">
        <is>
          <t>Позже</t>
        </is>
      </c>
      <c r="E5" t="inlineStr">
        <is>
          <t>Проблема</t>
        </is>
      </c>
      <c r="F5" t="inlineStr">
        <is>
          <t>Датчик</t>
        </is>
      </c>
    </row>
    <row r="6">
      <c r="F6" t="inlineStr">
        <is>
          <t>Интерфейсный модуль</t>
        </is>
      </c>
    </row>
    <row r="7">
      <c r="F7" t="inlineStr">
        <is>
          <t>Привод</t>
        </is>
      </c>
    </row>
    <row r="8">
      <c r="F8" t="inlineStr">
        <is>
          <t>Гидравлика</t>
        </is>
      </c>
    </row>
    <row r="9">
      <c r="F9" t="inlineStr">
        <is>
          <t>Силовой ключ</t>
        </is>
      </c>
    </row>
    <row r="10">
      <c r="F10" t="inlineStr">
        <is>
          <t>Индикация</t>
        </is>
      </c>
    </row>
    <row r="11">
      <c r="F11" t="inlineStr">
        <is>
          <t>Свет</t>
        </is>
      </c>
    </row>
    <row r="12">
      <c r="F12" t="inlineStr">
        <is>
          <t>Акустика</t>
        </is>
      </c>
    </row>
    <row r="13">
      <c r="F13" t="inlineStr">
        <is>
          <t>Аудио</t>
        </is>
      </c>
    </row>
    <row r="14">
      <c r="F14" t="inlineStr">
        <is>
          <t>Сервис / отладка</t>
        </is>
      </c>
    </row>
    <row r="15">
      <c r="F15" t="inlineStr">
        <is>
          <t>Питание / bench</t>
        </is>
      </c>
    </row>
    <row r="16">
      <c r="F16" t="inlineStr">
        <is>
          <t>Питание / автономность</t>
        </is>
      </c>
    </row>
    <row r="17">
      <c r="F17" t="inlineStr">
        <is>
          <t>Питание</t>
        </is>
      </c>
    </row>
    <row r="18">
      <c r="F18" t="inlineStr">
        <is>
          <t>Энергетика</t>
        </is>
      </c>
    </row>
    <row r="19">
      <c r="F19" t="inlineStr">
        <is>
          <t>Дискретка</t>
        </is>
      </c>
    </row>
    <row r="20">
      <c r="F20" t="inlineStr">
        <is>
          <t>Хранение / storage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2026-04-18T07:44:52Z</dcterms:created>
  <dcterms:modified xsi:type="dcterms:W3CDTF">2026-04-18T07:44:52Z</dcterms:modified>
</cp:coreProperties>
</file>