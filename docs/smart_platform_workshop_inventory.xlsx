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7278deede49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96a117d483b4eb8"/>
    <x:sheet xmlns:r="http://schemas.openxmlformats.org/officeDocument/2006/relationships" name="Inventory_Master" sheetId="2" r:id="R7f842e4db908402d"/>
    <x:sheet xmlns:r="http://schemas.openxmlformats.org/officeDocument/2006/relationships" name="Power_Rails" sheetId="3" r:id="R1e8412a551344fe2"/>
    <x:sheet xmlns:r="http://schemas.openxmlformats.org/officeDocument/2006/relationships" name="Laboratory_Workflow" sheetId="4" r:id="R9bf7bb3e2f9d430e"/>
    <x:sheet xmlns:r="http://schemas.openxmlformats.org/officeDocument/2006/relationships" name="Missing_or_Recommended" sheetId="5" r:id="R2437656807724824"/>
    <x:sheet xmlns:r="http://schemas.openxmlformats.org/officeDocument/2006/relationships" name="Lists" sheetId="6" r:id="R49243db9665e4f45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Файл задуман как основной источник данных по складу мастерской и по аппаратным узлам проекта.</x:t>
        </x:r>
      </x:text>
    </x:comment>
    <x:comment ref="P2" authorId="0">
      <x:text>
        <x:r>
          <x:t>Поле для быстрой фильтрации: Да / Нет / Исследовать / Позже</x:t>
        </x:r>
      </x:text>
    </x:comment>
    <x:comment ref="R2" authorId="0">
      <x:text>
        <x:r>
          <x:t>Обновляй по результату реальной проверки модуля: Не тестировалось / Частично / ОК / Проблема</x:t>
        </x:r>
      </x:text>
    </x:comment>
    <x:comment ref="D4" authorId="0">
      <x:text>
        <x:r>
          <x:t>TFmini Plus уже отмечен как проблемный инженерный кейс — стоит вести его отдельно в тестах.</x:t>
        </x:r>
      </x:text>
    </x:comment>
    <x:comment ref="D6" authorId="0">
      <x:text>
        <x:r>
          <x:t>У тебя модульная версия DHT22 / AM2302, это упрощает подключение.</x:t>
        </x:r>
      </x:text>
    </x:comment>
    <x:comment ref="D27" authorId="0">
      <x:text>
        <x:r>
          <x:t>Лабораторник теперь главный источник для bring-up и диагностики.</x:t>
        </x:r>
      </x:text>
    </x:comment>
    <x:comment ref="D28" authorId="0">
      <x:text>
        <x:r>
          <x:t>LiFePO4 + BMS меняет архитектуру: это уже полноценный силовой контур, а не только powerbank.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₪#,##0.00"/>
  </x:numFmts>
  <x:fonts count="8">
    <x:font>
      <x:sz val="11"/>
      <x:color theme="1"/>
      <x:name val="Calibri"/>
      <x:family val="2"/>
      <x:scheme val="minor"/>
    </x:font>
    <x:font>
      <x:b/>
      <x:sz val="15"/>
      <x:color rgb="00FFFFFF"/>
    </x:font>
    <x:font>
      <x:b/>
      <x:color rgb="00FFFFFF"/>
    </x:font>
    <x:font>
      <x:sz val="11"/>
      <x:name val="Calibri"/>
    </x:font>
    <x:font>
      <x:color rgb="000000FF"/>
    </x:font>
    <x:font>
      <x:i/>
      <x:color rgb="00666666"/>
    </x:font>
    <x:font>
      <x:b/>
      <x:sz val="14"/>
    </x:font>
    <x:font>
      <x:b/>
    </x:font>
  </x:fonts>
  <x:fills count="6">
    <x:fill>
      <x:patternFill patternType="none"/>
    </x:fill>
    <x:fill>
      <x:patternFill patternType="gray125"/>
    </x:fill>
    <x:fill>
      <x:patternFill patternType="solid">
        <x:fgColor rgb="001F4E78"/>
      </x:patternFill>
    </x:fill>
    <x:fill>
      <x:patternFill patternType="solid">
        <x:fgColor rgb="000F766E"/>
      </x:patternFill>
    </x:fill>
    <x:fill>
      <x:patternFill patternType="solid">
        <x:fgColor rgb="00FFF2CC"/>
      </x:patternFill>
    </x:fill>
    <x:fill>
      <x:patternFill patternType="solid">
        <x:fgColor rgb="00D9F0EE"/>
      </x:patternFill>
    </x:fill>
  </x:fills>
  <x:borders count="3">
    <x:border>
      <x:left/>
      <x:right/>
      <x:top/>
      <x:bottom/>
      <x:diagonal/>
    </x:border>
    <x:border>
      <x:bottom style="thin">
        <x:color rgb="009E9E9E"/>
      </x:bottom>
    </x:border>
    <x:border>
      <x:bottom style="medium">
        <x:color rgb="001F4E78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0" xfId="0"/>
    <x:xf numFmtId="0" fontId="5" fillId="0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2" fillId="3" borderId="0" xfId="0" applyAlignment="1">
      <x:alignment vertical="top" wrapText="1"/>
    </x:xf>
    <x:xf numFmtId="0" fontId="6" fillId="0" borderId="2" xfId="0" applyAlignment="1">
      <x:alignment vertical="top" wrapText="1"/>
    </x:xf>
    <x:xf numFmtId="0" fontId="7" fillId="5" borderId="0" xfId="0" applyAlignment="1">
      <x:alignment vertical="top" wrapText="1"/>
    </x:xf>
    <x:xf numFmtId="0" fontId="2" fillId="3" borderId="1" xfId="0" applyAlignment="1">
      <x:alignment horizontal="center" vertical="center" wrapText="1"/>
    </x:xf>
    <x:xf numFmtId="0" fontId="3" fillId="0" borderId="0" xfId="0" applyAlignment="1">
      <x:alignment vertical="top" wrapText="1"/>
    </x:xf>
    <x:xf numFmtId="1" fontId="4" fillId="4" borderId="0" xfId="0" applyAlignment="1">
      <x:alignment vertical="top" wrapText="1"/>
    </x:xf>
    <x:xf numFmtId="0" fontId="4" fillId="4" borderId="0" xfId="0" applyAlignment="1">
      <x:alignment vertical="top" wrapText="1"/>
    </x:xf>
    <x:xf numFmtId="164" fontId="4" fillId="4" borderId="0" xfId="0" applyAlignment="1">
      <x:alignment vertical="top" wrapText="1"/>
    </x:xf>
    <x:xf numFmtId="2" fontId="6" fillId="0" borderId="2" xfId="0" applyAlignment="1">
      <x:alignment vertical="top" wrapText="1"/>
    </x:xf>
    <x:xf numFmtId="2" fontId="4" fillId="4" borderId="0" xfId="0" applyAlignment="1">
      <x:alignment vertical="top" wrapText="1"/>
    </x:xf>
  </x:cellXfs>
  <x:cellStyles count="1">
    <x:cellStyle name="Normal" xfId="0"/>
  </x:cellStyles>
  <x:dxfs count="4">
    <x:dxf>
      <x:fill>
        <x:patternFill>
          <x:bgColor rgb="00FDE9E7"/>
        </x:patternFill>
      </x:fill>
    </x:dxf>
    <x:dxf>
      <x:fill>
        <x:patternFill>
          <x:bgColor rgb="00FCE4D6"/>
        </x:patternFill>
      </x:fill>
    </x:dxf>
    <x:dxf>
      <x:fill>
        <x:patternFill>
          <x:bgColor rgb="00E7E6E6"/>
        </x:patternFill>
      </x:fill>
    </x:dxf>
    <x:dxf>
      <x:fill>
        <x:patternFill>
          <x:bgColor rgb="00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e5a71e0a1e4bd8" /><Relationship Type="http://schemas.openxmlformats.org/officeDocument/2006/relationships/theme" Target="/xl/theme/theme1.xml" Id="R5366db490c824654" /><Relationship Type="http://schemas.openxmlformats.org/officeDocument/2006/relationships/sharedStrings" Target="/xl/sharedStrings.xml" Id="R2797394ae87a4d54" /><Relationship Type="http://schemas.openxmlformats.org/officeDocument/2006/relationships/worksheet" Target="/xl/worksheets/sheet1.xml" Id="Rf96a117d483b4eb8" /><Relationship Type="http://schemas.openxmlformats.org/officeDocument/2006/relationships/worksheet" Target="/xl/worksheets/sheet2.xml" Id="R7f842e4db908402d" /><Relationship Type="http://schemas.openxmlformats.org/officeDocument/2006/relationships/worksheet" Target="/xl/worksheets/sheet3.xml" Id="R1e8412a551344fe2" /><Relationship Type="http://schemas.openxmlformats.org/officeDocument/2006/relationships/worksheet" Target="/xl/worksheets/sheet4.xml" Id="R9bf7bb3e2f9d430e" /><Relationship Type="http://schemas.openxmlformats.org/officeDocument/2006/relationships/worksheet" Target="/xl/worksheets/sheet5.xml" Id="R2437656807724824" /><Relationship Type="http://schemas.openxmlformats.org/officeDocument/2006/relationships/worksheet" Target="/xl/worksheets/sheet6.xml" Id="R49243db9665e4f45" /><Relationship Type="http://schemas.microsoft.com/office/2017/10/relationships/person" Target="/xl/persons/person.xml" Id="Rc8330f61924042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fe48268e3d4629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Компоненты по фазам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/>
          </a:pPr>
        </a:p>
      </c:txPr>
    </c:title>
    <c:autoTitleDeleted val="0"/>
    <c:plotArea>
      <c:layout/>
      <c:barChart>
        <c:barDir val="col"/>
        <c:grouping val="clustered"/>
        <c:ser>
          <c:idx val="0"/>
          <c:order val="0"/>
          <c:tx>
            <c:strRef>
              <c:f>'Dashboard'!H5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'Dashboard'!$G$6:$G$9</c:f>
              <c:strCache>
                <c:ptCount val="0"/>
              </c:strCache>
            </c:strRef>
          </c:cat>
          <c:val>
            <c:numRef>
              <c:f>'Dashboard'!$H$6:$H$9</c:f>
              <c:numCache>
                <c:formatCode/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Фаза</a:t>
                </a:r>
              </a:p>
            </c:rich>
          </c:tx>
        </c:title>
        <c:numFmt formatCode=""/>
        <c:majorTickMark val="none"/>
        <c:minorTickMark val="none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Количество</a:t>
                </a:r>
              </a:p>
            </c:rich>
          </c:tx>
        </c:title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  <c:dispBlanksAs val="gap"/>
  </c:chart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2</xdr:col>
      <xdr:colOff>0</xdr:colOff>
      <xdr:row>10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fe48268e3d4629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OpenAI" id="{1A1CFE24-B21D-9E8B-87D4-D09936224A4C}"/>
</xltc:personList>
</file>

<file path=xl/tables/table1.xml><?xml version="1.0" encoding="utf-8"?>
<x:table xmlns:x="http://schemas.openxmlformats.org/spreadsheetml/2006/main" id="1" name="tblInventory" displayName="tblInventory" ref="A2:T33" headerRowCount="1">
  <x:autoFilter ref="A2:T33"/>
  <x:tableColumns count="20">
    <x:tableColumn id="1" name="ID"/>
    <x:tableColumn id="2" name="Источник"/>
    <x:tableColumn id="3" name="Группа"/>
    <x:tableColumn id="4" name="Компонент"/>
    <x:tableColumn id="5" name="Модель / описание"/>
    <x:tableColumn id="6" name="Интерфейс / pinout"/>
    <x:tableColumn id="7" name="Роль в проекте"/>
    <x:tableColumn id="8" name="Приоритет"/>
    <x:tableColumn id="9" name="Фаза"/>
    <x:tableColumn id="10" name="Статус"/>
    <x:tableColumn id="11" name="Кол-во"/>
    <x:tableColumn id="12" name="Ед."/>
    <x:tableColumn id="13" name="Цена (₪)"/>
    <x:tableColumn id="14" name="Питание / уровень"/>
    <x:tableColumn id="15" name="Узел / владелец"/>
    <x:tableColumn id="16" name="Для Rev1"/>
    <x:tableColumn id="17" name="Локация"/>
    <x:tableColumn id="18" name="Тест"/>
    <x:tableColumn id="19" name="Рекомендуемое действие"/>
    <x:tableColumn id="20" name="Примечание"/>
  </x:tableColumns>
  <x:tableStyleInfo name="TableStyleMedium2" showRowStripes="1"/>
</x:table>
</file>

<file path=xl/tables/table2.xml><?xml version="1.0" encoding="utf-8"?>
<x:table xmlns:x="http://schemas.openxmlformats.org/spreadsheetml/2006/main" id="2" name="tblPowerRails" displayName="tblPowerRails" ref="A2:F10" headerRowCount="1">
  <x:autoFilter ref="A2:F10"/>
  <x:tableColumns count="6">
    <x:tableColumn id="1" name="Рельс"/>
    <x:tableColumn id="2" name="Номинал"/>
    <x:tableColumn id="3" name="Источник"/>
    <x:tableColumn id="4" name="Тип нагрузки"/>
    <x:tableColumn id="5" name="Потребители"/>
    <x:tableColumn id="6" name="Примечание"/>
  </x:tableColumns>
  <x:tableStyleInfo name="TableStyleMedium9" showRowStripes="1"/>
</x:table>
</file>

<file path=xl/tables/table3.xml><?xml version="1.0" encoding="utf-8"?>
<x:table xmlns:x="http://schemas.openxmlformats.org/spreadsheetml/2006/main" id="3" name="tblLabWorkflow" displayName="tblLabWorkflow" ref="A2:E9" headerRowCount="1">
  <x:autoFilter ref="A2:E9"/>
  <x:tableColumns count="5">
    <x:tableColumn id="1" name="Шаг"/>
    <x:tableColumn id="2" name="Цель"/>
    <x:tableColumn id="3" name="Что записать в Inventory"/>
    <x:tableColumn id="4" name="Правило безопасности"/>
    <x:tableColumn id="5" name="Результат"/>
  </x:tableColumns>
  <x:tableStyleInfo name="TableStyleMedium4" showRowStripes="1"/>
</x:table>
</file>

<file path=xl/tables/table4.xml><?xml version="1.0" encoding="utf-8"?>
<x:table xmlns:x="http://schemas.openxmlformats.org/spreadsheetml/2006/main" id="4" name="tblMissing" displayName="tblMissing" ref="A2:E7" headerRowCount="1">
  <x:autoFilter ref="A2:E7"/>
  <x:tableColumns count="5">
    <x:tableColumn id="1" name="Компонент"/>
    <x:tableColumn id="2" name="Почему нужен"/>
    <x:tableColumn id="3" name="Для какого каскада"/>
    <x:tableColumn id="4" name="Приоритет"/>
    <x:tableColumn id="5" name="Статус"/>
  </x:tableColumns>
  <x:tableStyleInfo name="TableStyleMedium6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d2b4b94c9d4e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868428462e214056" /><Relationship Type="http://schemas.openxmlformats.org/officeDocument/2006/relationships/vmlDrawing" Target="/xl/drawings/vmldrawing.vml" Id="Re06fd57a13684c94" /><Relationship Type="http://schemas.openxmlformats.org/officeDocument/2006/relationships/table" Target="/xl/tables/table1.xml" Id="R9e2f4c8cab49459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228f5421a844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b0c0490da6740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2827e1784c54b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4" customWidth="1"/>
    <x:col min="4" max="4" width="24" customWidth="1"/>
    <x:col min="5" max="5" width="24" customWidth="1"/>
    <x:col min="7" max="7" width="28" customWidth="1"/>
    <x:col min="8" max="8" width="12" customWidth="1"/>
  </x:cols>
  <x:sheetData>
    <x:row r="1">
      <x:c r="A1" s="1" t="inlineStr">
        <x:is>
          <x:t xml:space="preserve">Smart Platform — обзор склада и аппаратной платформы</x:t>
        </x:is>
      </x:c>
    </x:row>
    <x:row r="2">
      <x:c r="A2" s="2" t="inlineStr">
        <x:is>
          <x:t xml:space="preserve">Дата обновления: 2026-04-17</x:t>
        </x:is>
      </x:c>
      <x:c r="B2" s="3" t="n"/>
      <x:c r="C2" s="3" t="n"/>
      <x:c r="D2" s="3" t="n"/>
      <x:c r="E2" s="3" t="n"/>
      <x:c r="F2" s="3" t="n"/>
      <x:c r="G2" s="3" t="n"/>
      <x:c r="H2" s="3" t="n"/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>
      <x:c r="A4" s="4" t="inlineStr">
        <x:is>
          <x:t xml:space="preserve">Всего позиций</x:t>
        </x:is>
      </x:c>
      <x:c r="B4" s="5">
        <x:f>COUNTA(Inventory_Master!A:A)-2</x:f>
        <x:v>31</x:v>
      </x:c>
      <x:c r="C4" s="3" t="n"/>
      <x:c r="D4" s="4" t="inlineStr">
        <x:is>
          <x:t xml:space="preserve">Подтверждено</x:t>
        </x:is>
      </x:c>
      <x:c r="E4" s="5">
        <x:f>COUNTIF(Inventory_Master!J:J,"Подтверждено")</x:f>
        <x:v>28</x:v>
      </x:c>
      <x:c r="F4" s="3" t="n"/>
      <x:c r="G4" s="4" t="inlineStr">
        <x:is>
          <x:t xml:space="preserve">Сводка по фазам</x:t>
        </x:is>
      </x:c>
      <x:c r="H4" s="3" t="n"/>
    </x:row>
    <x:row r="5">
      <x:c r="A5" s="3" t="n"/>
      <x:c r="B5" s="3" t="n"/>
      <x:c r="C5" s="3" t="n"/>
      <x:c r="D5" s="3" t="n"/>
      <x:c r="E5" s="3" t="n"/>
      <x:c r="F5" s="3" t="n"/>
      <x:c r="G5" s="6" t="inlineStr">
        <x:is>
          <x:t xml:space="preserve">Фаза</x:t>
        </x:is>
      </x:c>
      <x:c r="H5" s="6" t="inlineStr">
        <x:is>
          <x:t xml:space="preserve">Кол-во</x:t>
        </x:is>
      </x:c>
    </x:row>
    <x:row r="6">
      <x:c r="A6" s="3" t="n"/>
      <x:c r="B6" s="3" t="n"/>
      <x:c r="C6" s="3" t="n"/>
      <x:c r="D6" s="3" t="n"/>
      <x:c r="E6" s="3" t="n"/>
      <x:c r="F6" s="3" t="n"/>
      <x:c r="G6" s="3" t="inlineStr">
        <x:is>
          <x:t xml:space="preserve">Ядро Rev1</x:t>
        </x:is>
      </x:c>
      <x:c r="H6" s="3">
        <x:f>COUNTIF(Inventory_Master!I:I,G6)</x:f>
        <x:v>14</x:v>
      </x:c>
    </x:row>
    <x:row r="7">
      <x:c r="A7" s="4" t="inlineStr">
        <x:is>
          <x:t xml:space="preserve">Нужно уточнить</x:t>
        </x:is>
      </x:c>
      <x:c r="B7" s="5">
        <x:f>COUNTIF(Inventory_Master!J:J,"Нужно уточнить")</x:f>
        <x:v>2</x:v>
      </x:c>
      <x:c r="C7" s="3" t="n"/>
      <x:c r="D7" s="4" t="inlineStr">
        <x:is>
          <x:t xml:space="preserve">Под вопросом</x:t>
        </x:is>
      </x:c>
      <x:c r="E7" s="5">
        <x:f>COUNTIF(Inventory_Master!J:J,"Под вопросом")</x:f>
        <x:v>1</x:v>
      </x:c>
      <x:c r="F7" s="3" t="n"/>
      <x:c r="G7" s="3" t="inlineStr">
        <x:is>
          <x:t xml:space="preserve">Laboratory / исследование</x:t>
        </x:is>
      </x:c>
      <x:c r="H7" s="3">
        <x:f>COUNTIF(Inventory_Master!I:I,G7)</x:f>
        <x:v>7</x:v>
      </x:c>
    </x:row>
    <x:row r="8">
      <x:c r="A8" s="3" t="n"/>
      <x:c r="B8" s="3" t="n"/>
      <x:c r="C8" s="3" t="n"/>
      <x:c r="D8" s="3" t="n"/>
      <x:c r="E8" s="3" t="n"/>
      <x:c r="F8" s="3" t="n"/>
      <x:c r="G8" s="3" t="inlineStr">
        <x:is>
          <x:t xml:space="preserve">Поздний силовой каскад</x:t>
        </x:is>
      </x:c>
      <x:c r="H8" s="3">
        <x:f>COUNTIF(Inventory_Master!I:I,G8)</x:f>
        <x:v>5</x:v>
      </x:c>
    </x:row>
    <x:row r="9">
      <x:c r="A9" s="3" t="n"/>
      <x:c r="B9" s="3" t="n"/>
      <x:c r="C9" s="3" t="n"/>
      <x:c r="D9" s="3" t="n"/>
      <x:c r="E9" s="3" t="n"/>
      <x:c r="F9" s="3" t="n"/>
      <x:c r="G9" s="3" t="inlineStr">
        <x:is>
          <x:t xml:space="preserve">Инфраструктура</x:t>
        </x:is>
      </x:c>
      <x:c r="H9" s="3">
        <x:f>COUNTIF(Inventory_Master!I:I,G9)</x:f>
        <x:v>5</x:v>
      </x:c>
    </x:row>
    <x:row r="10">
      <x:c r="A10" s="4" t="inlineStr">
        <x:is>
          <x:t xml:space="preserve">Ядро Rev1</x:t>
        </x:is>
      </x:c>
      <x:c r="B10" s="5">
        <x:f>COUNTIF(Inventory_Master!I:I,"Ядро Rev1")</x:f>
        <x:v>14</x:v>
      </x:c>
      <x:c r="C10" s="3" t="n"/>
      <x:c r="D10" s="4" t="inlineStr">
        <x:is>
          <x:t xml:space="preserve">Laboratory / исследование</x:t>
        </x:is>
      </x:c>
      <x:c r="E10" s="5">
        <x:f>COUNTIF(Inventory_Master!I:I,"Laboratory / исследование")</x:f>
        <x:v>7</x:v>
      </x:c>
      <x:c r="F10" s="3" t="n"/>
      <x:c r="G10" s="3" t="n"/>
      <x:c r="H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</x:row>
    <x:row r="12">
      <x:c r="A12" s="3" t="n"/>
      <x:c r="B12" s="3" t="n"/>
      <x:c r="C12" s="3" t="n"/>
      <x:c r="D12" s="3" t="n"/>
      <x:c r="E12" s="3" t="n"/>
      <x:c r="F12" s="3" t="n"/>
      <x:c r="G12" s="4" t="inlineStr">
        <x:is>
          <x:t xml:space="preserve">Сводка по статусам</x:t>
        </x:is>
      </x:c>
      <x:c r="H12" s="3" t="n"/>
    </x:row>
    <x:row r="13">
      <x:c r="A13" s="4" t="inlineStr">
        <x:is>
          <x:t xml:space="preserve">Поздний силовой каскад</x:t>
        </x:is>
      </x:c>
      <x:c r="B13" s="5">
        <x:f>COUNTIF(Inventory_Master!I:I,"Поздний силовой каскад")</x:f>
        <x:v>5</x:v>
      </x:c>
      <x:c r="C13" s="3" t="n"/>
      <x:c r="D13" s="4" t="inlineStr">
        <x:is>
          <x:t xml:space="preserve">Инфраструктура</x:t>
        </x:is>
      </x:c>
      <x:c r="E13" s="5">
        <x:f>COUNTIF(Inventory_Master!I:I,"Инфраструктура")</x:f>
        <x:v>5</x:v>
      </x:c>
      <x:c r="F13" s="3" t="n"/>
      <x:c r="G13" s="6" t="inlineStr">
        <x:is>
          <x:t xml:space="preserve">Статус</x:t>
        </x:is>
      </x:c>
      <x:c r="H13" s="6" t="inlineStr">
        <x:is>
          <x:t xml:space="preserve">Кол-во</x:t>
        </x:is>
      </x:c>
    </x:row>
    <x:row r="14">
      <x:c r="A14" s="3" t="n"/>
      <x:c r="B14" s="3" t="n"/>
      <x:c r="C14" s="3" t="n"/>
      <x:c r="D14" s="3" t="n"/>
      <x:c r="E14" s="3" t="n"/>
      <x:c r="F14" s="3" t="n"/>
      <x:c r="G14" s="3" t="inlineStr">
        <x:is>
          <x:t xml:space="preserve">Подтверждено</x:t>
        </x:is>
      </x:c>
      <x:c r="H14" s="3">
        <x:f>COUNTIF(Inventory_Master!J:J,G14)</x:f>
        <x:v>28</x:v>
      </x:c>
    </x:row>
    <x:row r="15">
      <x:c r="A15" s="3" t="n"/>
      <x:c r="B15" s="3" t="n"/>
      <x:c r="C15" s="3" t="n"/>
      <x:c r="D15" s="3" t="n"/>
      <x:c r="E15" s="3" t="n"/>
      <x:c r="F15" s="3" t="n"/>
      <x:c r="G15" s="3" t="inlineStr">
        <x:is>
          <x:t xml:space="preserve">Нужно уточнить</x:t>
        </x:is>
      </x:c>
      <x:c r="H15" s="3">
        <x:f>COUNTIF(Inventory_Master!J:J,G15)</x:f>
        <x:v>2</x:v>
      </x:c>
    </x:row>
    <x:row r="16">
      <x:c r="A16" s="4" t="inlineStr">
        <x:is>
          <x:t xml:space="preserve">Позиции Для Rev1 = Да</x:t>
        </x:is>
      </x:c>
      <x:c r="B16" s="5">
        <x:f>COUNTIF(Inventory_Master!P:P,"Да")</x:f>
        <x:v>18</x:v>
      </x:c>
      <x:c r="C16" s="3" t="n"/>
      <x:c r="D16" s="4" t="inlineStr">
        <x:is>
          <x:t xml:space="preserve">Сумма известных покупок (₪)</x:t>
        </x:is>
      </x:c>
      <x:c r="E16" s="12">
        <x:f>SUM(Inventory_Master!M:M)</x:f>
        <x:v>1413.4099999999999</x:v>
      </x:c>
      <x:c r="F16" s="3" t="n"/>
      <x:c r="G16" s="3" t="inlineStr">
        <x:is>
          <x:t xml:space="preserve">Под вопросом</x:t>
        </x:is>
      </x:c>
      <x:c r="H16" s="3">
        <x:f>COUNTIF(Inventory_Master!J:J,G16)</x:f>
        <x:v>1</x:v>
      </x:c>
    </x:row>
    <x:row r="17">
      <x:c r="A17" s="3" t="n"/>
      <x:c r="B17" s="3" t="n"/>
      <x:c r="C17" s="3" t="n"/>
      <x:c r="D17" s="3" t="n"/>
      <x:c r="E17" s="3" t="n"/>
      <x:c r="F17" s="3" t="n"/>
      <x:c r="G17" s="3" t="inlineStr">
        <x:is>
          <x:t xml:space="preserve">Отложено</x:t>
        </x:is>
      </x:c>
      <x:c r="H17" s="3">
        <x:f>COUNTIF(Inventory_Master!J:J,G17)</x:f>
        <x:v>0</x:v>
      </x:c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</x:row>
    <x:row r="28">
      <x:c r="A28" s="4" t="inlineStr">
        <x:is>
          <x:t xml:space="preserve">Ключевые принципы</x:t>
        </x:is>
      </x:c>
      <x:c r="B28" s="3" t="n"/>
      <x:c r="C28" s="3" t="n"/>
      <x:c r="D28" s="3" t="n"/>
      <x:c r="E28" s="3" t="n"/>
      <x:c r="F28" s="3" t="n"/>
      <x:c r="G28" s="3" t="n"/>
      <x:c r="H28" s="3" t="n"/>
    </x:row>
    <x:row r="29">
      <x:c r="A29" s="3" t="inlineStr">
        <x:is>
          <x:t xml:space="preserve">• Этот файл предназначен как источник правды по складу мастерской и аппаратной платформе проекта.</x:t>
        </x:is>
      </x:c>
      <x:c r="B29" s="3" t="n"/>
      <x:c r="C29" s="3" t="n"/>
      <x:c r="D29" s="3" t="n"/>
      <x:c r="E29" s="3" t="n"/>
      <x:c r="F29" s="3" t="n"/>
      <x:c r="G29" s="3" t="n"/>
      <x:c r="H29" s="3" t="n"/>
    </x:row>
    <x:row r="30">
      <x:c r="A30" s="3" t="inlineStr">
        <x:is>
          <x:t xml:space="preserve">• Для bench bring-up основной источник питания — лабораторник NICE-POWER.</x:t>
        </x:is>
      </x:c>
      <x:c r="B30" s="3" t="n"/>
      <x:c r="C30" s="3" t="n"/>
      <x:c r="D30" s="3" t="n"/>
      <x:c r="E30" s="3" t="n"/>
      <x:c r="F30" s="3" t="n"/>
      <x:c r="G30" s="3" t="n"/>
      <x:c r="H30" s="3" t="n"/>
    </x:row>
    <x:row r="31">
      <x:c r="A31" s="3" t="inlineStr">
        <x:is>
          <x:t xml:space="preserve">• LiFePO4 12V 100Ah — основа автономного силового контура.</x:t>
        </x:is>
      </x:c>
      <x:c r="B31" s="3" t="n"/>
      <x:c r="C31" s="3" t="n"/>
      <x:c r="D31" s="3" t="n"/>
      <x:c r="E31" s="3" t="n"/>
      <x:c r="F31" s="3" t="n"/>
      <x:c r="G31" s="3" t="n"/>
      <x:c r="H31" s="3" t="n"/>
    </x:row>
    <x:row r="32">
      <x:c r="A32" s="3" t="inlineStr">
        <x:is>
          <x:t xml:space="preserve">• Zener kit полезен, но не заменяет силовые flyback-диоды для насосов, клапанов и катушек.</x:t>
        </x:is>
      </x:c>
      <x:c r="B32" s="3" t="n"/>
      <x:c r="C32" s="3" t="n"/>
      <x:c r="D32" s="3" t="n"/>
      <x:c r="E32" s="3" t="n"/>
      <x:c r="F32" s="3" t="n"/>
      <x:c r="G32" s="3" t="n"/>
      <x:c r="H32" s="3" t="n"/>
    </x:row>
    <x:row r="33">
      <x:c r="A33" s="3" t="inlineStr">
        <x:is>
          <x:t xml:space="preserve">• Laboratory должна уметь тестировать даже внеплановые / неизвестные модули.</x:t>
        </x:is>
      </x:c>
      <x:c r="B33" s="3" t="n"/>
      <x:c r="C33" s="3" t="n"/>
      <x:c r="D33" s="3" t="n"/>
      <x:c r="E33" s="3" t="n"/>
      <x:c r="F33" s="3" t="n"/>
      <x:c r="G33" s="3" t="n"/>
      <x:c r="H33" s="3" t="n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f2d2b4b94c9d4e1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" customWidth="1"/>
    <x:col min="2" max="2" width="11" customWidth="1"/>
    <x:col min="3" max="3" width="18" customWidth="1"/>
    <x:col min="4" max="4" width="20" customWidth="1"/>
    <x:col min="5" max="5" width="34" customWidth="1"/>
    <x:col min="6" max="6" width="26" customWidth="1"/>
    <x:col min="7" max="7" width="28" customWidth="1"/>
    <x:col min="8" max="8" width="14" customWidth="1"/>
    <x:col min="9" max="9" width="24" customWidth="1"/>
    <x:col min="10" max="10" width="16" customWidth="1"/>
    <x:col min="11" max="11" width="9" customWidth="1"/>
    <x:col min="12" max="12" width="7" customWidth="1"/>
    <x:col min="13" max="13" width="12" customWidth="1"/>
    <x:col min="14" max="14" width="21" customWidth="1"/>
    <x:col min="15" max="15" width="16" customWidth="1"/>
    <x:col min="16" max="16" width="12" customWidth="1"/>
    <x:col min="17" max="17" width="16" customWidth="1"/>
    <x:col min="18" max="18" width="16" customWidth="1"/>
    <x:col min="19" max="19" width="28" customWidth="1"/>
    <x:col min="20" max="20" width="28" customWidth="1"/>
  </x:cols>
  <x:sheetData>
    <x:row r="1" ht="24" customHeight="1">
      <x:c r="A1" s="1" t="inlineStr">
        <x:is>
          <x:t xml:space="preserve">Smart Platform — мастерская и склад компонентов</x:t>
        </x:is>
      </x:c>
    </x:row>
    <x:row r="2" ht="34" customHeight="1">
      <x:c r="A2" s="7" t="inlineStr">
        <x:is>
          <x:t xml:space="preserve">ID</x:t>
        </x:is>
      </x:c>
      <x:c r="B2" s="7" t="inlineStr">
        <x:is>
          <x:t xml:space="preserve">Источник</x:t>
        </x:is>
      </x:c>
      <x:c r="C2" s="7" t="inlineStr">
        <x:is>
          <x:t xml:space="preserve">Группа</x:t>
        </x:is>
      </x:c>
      <x:c r="D2" s="7" t="inlineStr">
        <x:is>
          <x:t xml:space="preserve">Компонент</x:t>
        </x:is>
      </x:c>
      <x:c r="E2" s="7" t="inlineStr">
        <x:is>
          <x:t xml:space="preserve">Модель / описание</x:t>
        </x:is>
      </x:c>
      <x:c r="F2" s="7" t="inlineStr">
        <x:is>
          <x:t xml:space="preserve">Интерфейс / pinout</x:t>
        </x:is>
      </x:c>
      <x:c r="G2" s="7" t="inlineStr">
        <x:is>
          <x:t xml:space="preserve">Роль в проекте</x:t>
        </x:is>
      </x:c>
      <x:c r="H2" s="7" t="inlineStr">
        <x:is>
          <x:t xml:space="preserve">Приоритет</x:t>
        </x:is>
      </x:c>
      <x:c r="I2" s="7" t="inlineStr">
        <x:is>
          <x:t xml:space="preserve">Фаза</x:t>
        </x:is>
      </x:c>
      <x:c r="J2" s="7" t="inlineStr">
        <x:is>
          <x:t xml:space="preserve">Статус</x:t>
        </x:is>
      </x:c>
      <x:c r="K2" s="7" t="inlineStr">
        <x:is>
          <x:t xml:space="preserve">Кол-во</x:t>
        </x:is>
      </x:c>
      <x:c r="L2" s="7" t="inlineStr">
        <x:is>
          <x:t xml:space="preserve">Ед.</x:t>
        </x:is>
      </x:c>
      <x:c r="M2" s="7" t="inlineStr">
        <x:is>
          <x:t xml:space="preserve">Цена (₪)</x:t>
        </x:is>
      </x:c>
      <x:c r="N2" s="7" t="inlineStr">
        <x:is>
          <x:t xml:space="preserve">Питание / уровень</x:t>
        </x:is>
      </x:c>
      <x:c r="O2" s="7" t="inlineStr">
        <x:is>
          <x:t xml:space="preserve">Узел / владелец</x:t>
        </x:is>
      </x:c>
      <x:c r="P2" s="7" t="inlineStr">
        <x:is>
          <x:t xml:space="preserve">Для Rev1</x:t>
        </x:is>
      </x:c>
      <x:c r="Q2" s="7" t="inlineStr">
        <x:is>
          <x:t xml:space="preserve">Локация</x:t>
        </x:is>
      </x:c>
      <x:c r="R2" s="7" t="inlineStr">
        <x:is>
          <x:t xml:space="preserve">Тест</x:t>
        </x:is>
      </x:c>
      <x:c r="S2" s="7" t="inlineStr">
        <x:is>
          <x:t xml:space="preserve">Рекомендуемое действие</x:t>
        </x:is>
      </x:c>
      <x:c r="T2" s="7" t="inlineStr">
        <x:is>
          <x:t xml:space="preserve">Примечание</x:t>
        </x:is>
      </x:c>
    </x:row>
    <x:row r="3" ht="36" customHeight="1">
      <x:c r="A3" s="8" t="n">
        <x:v>1</x:v>
      </x:c>
      <x:c r="B3" s="8" t="inlineStr">
        <x:is>
          <x:t xml:space="preserve">Фото 21</x:t>
        </x:is>
      </x:c>
      <x:c r="C3" s="8" t="inlineStr">
        <x:is>
          <x:t xml:space="preserve">Контроллер</x:t>
        </x:is>
      </x:c>
      <x:c r="D3" s="8" t="inlineStr">
        <x:is>
          <x:t xml:space="preserve">Raspberry Pi 5</x:t>
        </x:is>
      </x:c>
      <x:c r="E3" s="8" t="inlineStr">
        <x:is>
          <x:t xml:space="preserve">Raspberry Pi 5</x:t>
        </x:is>
      </x:c>
      <x:c r="F3" s="8" t="inlineStr">
        <x:is>
          <x:t xml:space="preserve">40-pin GPIO, CSI/DSI, USB, Ethernet</x:t>
        </x:is>
      </x:c>
      <x:c r="G3" s="8" t="inlineStr">
        <x:is>
          <x:t xml:space="preserve">Главный owner-узел турели / UI / камера / дальномер</x:t>
        </x:is>
      </x:c>
      <x:c r="H3" s="8" t="inlineStr">
        <x:is>
          <x:t xml:space="preserve">Очень высокий</x:t>
        </x:is>
      </x:c>
      <x:c r="I3" s="8" t="inlineStr">
        <x:is>
          <x:t xml:space="preserve">Ядро Rev1</x:t>
        </x:is>
      </x:c>
      <x:c r="J3" s="8" t="inlineStr">
        <x:is>
          <x:t xml:space="preserve">Подтверждено</x:t>
        </x:is>
      </x:c>
      <x:c r="K3" s="9" t="n">
        <x:v>1</x:v>
      </x:c>
      <x:c r="L3" s="8" t="inlineStr">
        <x:is>
          <x:t xml:space="preserve">шт</x:t>
        </x:is>
      </x:c>
      <x:c r="M3" s="13" t="n"/>
      <x:c r="N3" s="8" t="inlineStr">
        <x:is>
          <x:t xml:space="preserve">5V логика / внешнее питание</x:t>
        </x:is>
      </x:c>
      <x:c r="O3" s="8" t="inlineStr">
        <x:is>
          <x:t xml:space="preserve">Raspberry Pi</x:t>
        </x:is>
      </x:c>
      <x:c r="P3" s="8" t="inlineStr">
        <x:is>
          <x:t xml:space="preserve">Да</x:t>
        </x:is>
      </x:c>
      <x:c r="Q3" s="10" t="inlineStr">
        <x:is>
          <x:t xml:space="preserve"/>
        </x:is>
      </x:c>
      <x:c r="R3" s="10" t="inlineStr">
        <x:is>
          <x:t xml:space="preserve">Не тестировалось</x:t>
        </x:is>
      </x:c>
      <x:c r="S3" s="10" t="inlineStr">
        <x:is>
          <x:t xml:space="preserve">Подготовить bench bring-up и карту GPIO</x:t>
        </x:is>
      </x:c>
      <x:c r="T3" s="10" t="inlineStr">
        <x:is>
          <x:t xml:space="preserve">Главная плата для turret-side</x:t>
        </x:is>
      </x:c>
    </x:row>
    <x:row r="4" ht="36" customHeight="1">
      <x:c r="A4" s="8" t="n">
        <x:v>2</x:v>
      </x:c>
      <x:c r="B4" s="8" t="inlineStr">
        <x:is>
          <x:t xml:space="preserve">Фото 22</x:t>
        </x:is>
      </x:c>
      <x:c r="C4" s="8" t="inlineStr">
        <x:is>
          <x:t xml:space="preserve">Контроллер</x:t>
        </x:is>
      </x:c>
      <x:c r="D4" s="8" t="inlineStr">
        <x:is>
          <x:t xml:space="preserve">ESP32 Dev Board</x:t>
        </x:is>
      </x:c>
      <x:c r="E4" s="8" t="inlineStr">
        <x:is>
          <x:t xml:space="preserve">ESP32-WROOM-32, 30-pin, USB-C, HW-394-type</x:t>
        </x:is>
      </x:c>
      <x:c r="F4" s="8" t="inlineStr">
        <x:is>
          <x:t xml:space="preserve">VIN/GND + GPIO, ADC, UART, I2C, SPI</x:t>
        </x:is>
      </x:c>
      <x:c r="G4" s="8" t="inlineStr">
        <x:is>
          <x:t xml:space="preserve">Owner-узел полива / сенсоры / локальная автоматика</x:t>
        </x:is>
      </x:c>
      <x:c r="H4" s="8" t="inlineStr">
        <x:is>
          <x:t xml:space="preserve">Очень высокий</x:t>
        </x:is>
      </x:c>
      <x:c r="I4" s="8" t="inlineStr">
        <x:is>
          <x:t xml:space="preserve">Ядро Rev1</x:t>
        </x:is>
      </x:c>
      <x:c r="J4" s="8" t="inlineStr">
        <x:is>
          <x:t xml:space="preserve">Подтверждено</x:t>
        </x:is>
      </x:c>
      <x:c r="K4" s="9" t="n">
        <x:v>1</x:v>
      </x:c>
      <x:c r="L4" s="8" t="inlineStr">
        <x:is>
          <x:t xml:space="preserve">шт</x:t>
        </x:is>
      </x:c>
      <x:c r="M4" s="13" t="n"/>
      <x:c r="N4" s="8" t="inlineStr">
        <x:is>
          <x:t xml:space="preserve">3.3V логика, питание через USB-C/VIN</x:t>
        </x:is>
      </x:c>
      <x:c r="O4" s="8" t="inlineStr">
        <x:is>
          <x:t xml:space="preserve">ESP32</x:t>
        </x:is>
      </x:c>
      <x:c r="P4" s="8" t="inlineStr">
        <x:is>
          <x:t xml:space="preserve">Да</x:t>
        </x:is>
      </x:c>
      <x:c r="Q4" s="10" t="inlineStr">
        <x:is>
          <x:t xml:space="preserve"/>
        </x:is>
      </x:c>
      <x:c r="R4" s="10" t="inlineStr">
        <x:is>
          <x:t xml:space="preserve">Не тестировалось</x:t>
        </x:is>
      </x:c>
      <x:c r="S4" s="10" t="inlineStr">
        <x:is>
          <x:t xml:space="preserve">Зафиксировать pinout именно этой платы</x:t>
        </x:is>
      </x:c>
      <x:c r="T4" s="10" t="inlineStr">
        <x:is>
          <x:t xml:space="preserve">Использовать pinout с фото, не абстрактный DevKit</x:t>
        </x:is>
      </x:c>
    </x:row>
    <x:row r="5" ht="36" customHeight="1">
      <x:c r="A5" s="8" t="n">
        <x:v>3</x:v>
      </x:c>
      <x:c r="B5" s="8" t="inlineStr">
        <x:is>
          <x:t xml:space="preserve">Фото 19</x:t>
        </x:is>
      </x:c>
      <x:c r="C5" s="8" t="inlineStr">
        <x:is>
          <x:t xml:space="preserve">Камера</x:t>
        </x:is>
      </x:c>
      <x:c r="D5" s="8" t="inlineStr">
        <x:is>
          <x:t xml:space="preserve">Pi camera</x:t>
        </x:is>
      </x:c>
      <x:c r="E5" s="8" t="inlineStr">
        <x:is>
          <x:t xml:space="preserve">IMX219, 130°, MF, China</x:t>
        </x:is>
      </x:c>
      <x:c r="F5" s="8" t="inlineStr">
        <x:is>
          <x:t xml:space="preserve">CSI</x:t>
        </x:is>
      </x:c>
      <x:c r="G5" s="8" t="inlineStr">
        <x:is>
          <x:t xml:space="preserve">Камера турели</x:t>
        </x:is>
      </x:c>
      <x:c r="H5" s="8" t="inlineStr">
        <x:is>
          <x:t xml:space="preserve">Высокий</x:t>
        </x:is>
      </x:c>
      <x:c r="I5" s="8" t="inlineStr">
        <x:is>
          <x:t xml:space="preserve">Ядро Rev1</x:t>
        </x:is>
      </x:c>
      <x:c r="J5" s="8" t="inlineStr">
        <x:is>
          <x:t xml:space="preserve">Подтверждено</x:t>
        </x:is>
      </x:c>
      <x:c r="K5" s="9" t="n">
        <x:v>1</x:v>
      </x:c>
      <x:c r="L5" s="8" t="inlineStr">
        <x:is>
          <x:t xml:space="preserve">шт</x:t>
        </x:is>
      </x:c>
      <x:c r="M5" s="13" t="n"/>
      <x:c r="N5" s="8" t="inlineStr">
        <x:is>
          <x:t xml:space="preserve">CSI, питание от Pi</x:t>
        </x:is>
      </x:c>
      <x:c r="O5" s="8" t="inlineStr">
        <x:is>
          <x:t xml:space="preserve">Raspberry Pi</x:t>
        </x:is>
      </x:c>
      <x:c r="P5" s="8" t="inlineStr">
        <x:is>
          <x:t xml:space="preserve">Да</x:t>
        </x:is>
      </x:c>
      <x:c r="Q5" s="10" t="inlineStr">
        <x:is>
          <x:t xml:space="preserve"/>
        </x:is>
      </x:c>
      <x:c r="R5" s="10" t="inlineStr">
        <x:is>
          <x:t xml:space="preserve">Не тестировалось</x:t>
        </x:is>
      </x:c>
      <x:c r="S5" s="10" t="inlineStr">
        <x:is>
          <x:t xml:space="preserve">Подготовить шлейф и тест изображения</x:t>
        </x:is>
      </x:c>
      <x:c r="T5" s="10" t="inlineStr">
        <x:is>
          <x:t xml:space="preserve"/>
        </x:is>
      </x:c>
    </x:row>
    <x:row r="6" ht="36" customHeight="1">
      <x:c r="A6" s="8" t="n">
        <x:v>4</x:v>
      </x:c>
      <x:c r="B6" s="8" t="inlineStr">
        <x:is>
          <x:t xml:space="preserve">Фото 26</x:t>
        </x:is>
      </x:c>
      <x:c r="C6" s="8" t="inlineStr">
        <x:is>
          <x:t xml:space="preserve">Дальномер</x:t>
        </x:is>
      </x:c>
      <x:c r="D6" s="8" t="inlineStr">
        <x:is>
          <x:t xml:space="preserve">LiDAR</x:t>
        </x:is>
      </x:c>
      <x:c r="E6" s="8" t="inlineStr">
        <x:is>
          <x:t xml:space="preserve">TFmini Plus</x:t>
        </x:is>
      </x:c>
      <x:c r="F6" s="8" t="inlineStr">
        <x:is>
          <x:t xml:space="preserve">UART, 4-wire JST</x:t>
        </x:is>
      </x:c>
      <x:c r="G6" s="8" t="inlineStr">
        <x:is>
          <x:t xml:space="preserve">Дальномер турели, посадка на Raspberry Pi</x:t>
        </x:is>
      </x:c>
      <x:c r="H6" s="8" t="inlineStr">
        <x:is>
          <x:t xml:space="preserve">Высокий</x:t>
        </x:is>
      </x:c>
      <x:c r="I6" s="8" t="inlineStr">
        <x:is>
          <x:t xml:space="preserve">Ядро Rev1</x:t>
        </x:is>
      </x:c>
      <x:c r="J6" s="8" t="inlineStr">
        <x:is>
          <x:t xml:space="preserve">Подтверждено</x:t>
        </x:is>
      </x:c>
      <x:c r="K6" s="9" t="n">
        <x:v>1</x:v>
      </x:c>
      <x:c r="L6" s="8" t="inlineStr">
        <x:is>
          <x:t xml:space="preserve">шт</x:t>
        </x:is>
      </x:c>
      <x:c r="M6" s="13" t="n"/>
      <x:c r="N6" s="8" t="inlineStr">
        <x:is>
          <x:t xml:space="preserve">5V питание + UART TTL</x:t>
        </x:is>
      </x:c>
      <x:c r="O6" s="8" t="inlineStr">
        <x:is>
          <x:t xml:space="preserve">Raspberry Pi</x:t>
        </x:is>
      </x:c>
      <x:c r="P6" s="8" t="inlineStr">
        <x:is>
          <x:t xml:space="preserve">Да</x:t>
        </x:is>
      </x:c>
      <x:c r="Q6" s="10" t="inlineStr">
        <x:is>
          <x:t xml:space="preserve"/>
        </x:is>
      </x:c>
      <x:c r="R6" s="10" t="inlineStr">
        <x:is>
          <x:t xml:space="preserve">Проблема</x:t>
        </x:is>
      </x:c>
      <x:c r="S6" s="10" t="inlineStr">
        <x:is>
          <x:t xml:space="preserve">Разобрать прошлую проблему подключения</x:t>
        </x:is>
      </x:c>
      <x:c r="T6" s="10" t="inlineStr">
        <x:is>
          <x:t xml:space="preserve">Нужен документ от производителя</x:t>
        </x:is>
      </x:c>
    </x:row>
    <x:row r="7" ht="36" customHeight="1">
      <x:c r="A7" s="8" t="n">
        <x:v>5</x:v>
      </x:c>
      <x:c r="B7" s="8" t="inlineStr">
        <x:is>
          <x:t xml:space="preserve">Фото 23</x:t>
        </x:is>
      </x:c>
      <x:c r="C7" s="8" t="inlineStr">
        <x:is>
          <x:t xml:space="preserve">Датчик</x:t>
        </x:is>
      </x:c>
      <x:c r="D7" s="8" t="inlineStr">
        <x:is>
          <x:t xml:space="preserve">Light sensor</x:t>
        </x:is>
      </x:c>
      <x:c r="E7" s="8" t="inlineStr">
        <x:is>
          <x:t xml:space="preserve">BH1750FVI module</x:t>
        </x:is>
      </x:c>
      <x:c r="F7" s="8" t="inlineStr">
        <x:is>
          <x:t xml:space="preserve">VCC / SCL / SDA / GND / ADDR</x:t>
        </x:is>
      </x:c>
      <x:c r="G7" s="8" t="inlineStr">
        <x:is>
          <x:t xml:space="preserve">Освещённость / контекст полива</x:t>
        </x:is>
      </x:c>
      <x:c r="H7" s="8" t="inlineStr">
        <x:is>
          <x:t xml:space="preserve">Средний</x:t>
        </x:is>
      </x:c>
      <x:c r="I7" s="8" t="inlineStr">
        <x:is>
          <x:t xml:space="preserve">Ядро Rev1</x:t>
        </x:is>
      </x:c>
      <x:c r="J7" s="8" t="inlineStr">
        <x:is>
          <x:t xml:space="preserve">Подтверждено</x:t>
        </x:is>
      </x:c>
      <x:c r="K7" s="9" t="n">
        <x:v>1</x:v>
      </x:c>
      <x:c r="L7" s="8" t="inlineStr">
        <x:is>
          <x:t xml:space="preserve">шт</x:t>
        </x:is>
      </x:c>
      <x:c r="M7" s="13" t="n"/>
      <x:c r="N7" s="8" t="inlineStr">
        <x:is>
          <x:t xml:space="preserve">I2C, 3.3V/5V-модуль</x:t>
        </x:is>
      </x:c>
      <x:c r="O7" s="8" t="inlineStr">
        <x:is>
          <x:t xml:space="preserve">ESP32</x:t>
        </x:is>
      </x:c>
      <x:c r="P7" s="8" t="inlineStr">
        <x:is>
          <x:t xml:space="preserve">Да</x:t>
        </x:is>
      </x:c>
      <x:c r="Q7" s="10" t="inlineStr">
        <x:is>
          <x:t xml:space="preserve"/>
        </x:is>
      </x:c>
      <x:c r="R7" s="10" t="inlineStr">
        <x:is>
          <x:t xml:space="preserve">Не тестировалось</x:t>
        </x:is>
      </x:c>
      <x:c r="S7" s="10" t="inlineStr">
        <x:is>
          <x:t xml:space="preserve">Поднять на I2C с ESP32</x:t>
        </x:is>
      </x:c>
      <x:c r="T7" s="10" t="inlineStr">
        <x:is>
          <x:t xml:space="preserve">5-пиновая версия с ADDR</x:t>
        </x:is>
      </x:c>
    </x:row>
    <x:row r="8" ht="36" customHeight="1">
      <x:c r="A8" s="8" t="n">
        <x:v>6</x:v>
      </x:c>
      <x:c r="B8" s="8" t="inlineStr">
        <x:is>
          <x:t xml:space="preserve">Фото 24</x:t>
        </x:is>
      </x:c>
      <x:c r="C8" s="8" t="inlineStr">
        <x:is>
          <x:t xml:space="preserve">Датчик</x:t>
        </x:is>
      </x:c>
      <x:c r="D8" s="8" t="inlineStr">
        <x:is>
          <x:t xml:space="preserve">Temp/Humidity sensor</x:t>
        </x:is>
      </x:c>
      <x:c r="E8" s="8" t="inlineStr">
        <x:is>
          <x:t xml:space="preserve">AM2302 / DHT22 module</x:t>
        </x:is>
      </x:c>
      <x:c r="F8" s="8" t="inlineStr">
        <x:is>
          <x:t xml:space="preserve">DAT / VCC / GND</x:t>
        </x:is>
      </x:c>
      <x:c r="G8" s="8" t="inlineStr">
        <x:is>
          <x:t xml:space="preserve">Температура / влажность</x:t>
        </x:is>
      </x:c>
      <x:c r="H8" s="8" t="inlineStr">
        <x:is>
          <x:t xml:space="preserve">Высокий</x:t>
        </x:is>
      </x:c>
      <x:c r="I8" s="8" t="inlineStr">
        <x:is>
          <x:t xml:space="preserve">Ядро Rev1</x:t>
        </x:is>
      </x:c>
      <x:c r="J8" s="8" t="inlineStr">
        <x:is>
          <x:t xml:space="preserve">Подтверждено</x:t>
        </x:is>
      </x:c>
      <x:c r="K8" s="9" t="n">
        <x:v>1</x:v>
      </x:c>
      <x:c r="L8" s="8" t="inlineStr">
        <x:is>
          <x:t xml:space="preserve">шт</x:t>
        </x:is>
      </x:c>
      <x:c r="M8" s="13" t="n"/>
      <x:c r="N8" s="8" t="inlineStr">
        <x:is>
          <x:t xml:space="preserve">3.3V / digital data</x:t>
        </x:is>
      </x:c>
      <x:c r="O8" s="8" t="inlineStr">
        <x:is>
          <x:t xml:space="preserve">ESP32</x:t>
        </x:is>
      </x:c>
      <x:c r="P8" s="8" t="inlineStr">
        <x:is>
          <x:t xml:space="preserve">Да</x:t>
        </x:is>
      </x:c>
      <x:c r="Q8" s="10" t="inlineStr">
        <x:is>
          <x:t xml:space="preserve"/>
        </x:is>
      </x:c>
      <x:c r="R8" s="10" t="inlineStr">
        <x:is>
          <x:t xml:space="preserve">Не тестировалось</x:t>
        </x:is>
      </x:c>
      <x:c r="S8" s="10" t="inlineStr">
        <x:is>
          <x:t xml:space="preserve">Проверить частоту опроса и pull-up</x:t>
        </x:is>
      </x:c>
      <x:c r="T8" s="10" t="inlineStr">
        <x:is>
          <x:t xml:space="preserve">Модульная версия, не голый датчик</x:t>
        </x:is>
      </x:c>
    </x:row>
    <x:row r="9" ht="36" customHeight="1">
      <x:c r="A9" s="8" t="n">
        <x:v>7</x:v>
      </x:c>
      <x:c r="B9" s="8" t="inlineStr">
        <x:is>
          <x:t xml:space="preserve">Фото 4</x:t>
        </x:is>
      </x:c>
      <x:c r="C9" s="8" t="inlineStr">
        <x:is>
          <x:t xml:space="preserve">Датчик</x:t>
        </x:is>
      </x:c>
      <x:c r="D9" s="8" t="inlineStr">
        <x:is>
          <x:t xml:space="preserve">Soil moisture sensor</x:t>
        </x:is>
      </x:c>
      <x:c r="E9" s="8" t="inlineStr">
        <x:is>
          <x:t xml:space="preserve">Capacitive Soil Moisture Sensor</x:t>
        </x:is>
      </x:c>
      <x:c r="F9" s="8" t="inlineStr">
        <x:is>
          <x:t xml:space="preserve">GND / VCC / AOUT</x:t>
        </x:is>
      </x:c>
      <x:c r="G9" s="8" t="inlineStr">
        <x:is>
          <x:t xml:space="preserve">Контур полива ESP32</x:t>
        </x:is>
      </x:c>
      <x:c r="H9" s="8" t="inlineStr">
        <x:is>
          <x:t xml:space="preserve">Высокий</x:t>
        </x:is>
      </x:c>
      <x:c r="I9" s="8" t="inlineStr">
        <x:is>
          <x:t xml:space="preserve">Ядро Rev1</x:t>
        </x:is>
      </x:c>
      <x:c r="J9" s="8" t="inlineStr">
        <x:is>
          <x:t xml:space="preserve">Подтверждено</x:t>
        </x:is>
      </x:c>
      <x:c r="K9" s="9" t="n">
        <x:v>1</x:v>
      </x:c>
      <x:c r="L9" s="8" t="inlineStr">
        <x:is>
          <x:t xml:space="preserve">шт</x:t>
        </x:is>
      </x:c>
      <x:c r="M9" s="13" t="n"/>
      <x:c r="N9" s="8" t="inlineStr">
        <x:is>
          <x:t xml:space="preserve">Аналоговый выход, следить за уровнем</x:t>
        </x:is>
      </x:c>
      <x:c r="O9" s="8" t="inlineStr">
        <x:is>
          <x:t xml:space="preserve">ESP32</x:t>
        </x:is>
      </x:c>
      <x:c r="P9" s="8" t="inlineStr">
        <x:is>
          <x:t xml:space="preserve">Да</x:t>
        </x:is>
      </x:c>
      <x:c r="Q9" s="10" t="inlineStr">
        <x:is>
          <x:t xml:space="preserve"/>
        </x:is>
      </x:c>
      <x:c r="R9" s="10" t="inlineStr">
        <x:is>
          <x:t xml:space="preserve">Не тестировалось</x:t>
        </x:is>
      </x:c>
      <x:c r="S9" s="10" t="inlineStr">
        <x:is>
          <x:t xml:space="preserve">Проверить max AO &lt; 3.3V</x:t>
        </x:is>
      </x:c>
      <x:c r="T9" s="10" t="inlineStr">
        <x:is>
          <x:t xml:space="preserve"/>
        </x:is>
      </x:c>
    </x:row>
    <x:row r="10" ht="36" customHeight="1">
      <x:c r="A10" s="8" t="n">
        <x:v>8</x:v>
      </x:c>
      <x:c r="B10" s="8" t="inlineStr">
        <x:is>
          <x:t xml:space="preserve">Фото 20</x:t>
        </x:is>
      </x:c>
      <x:c r="C10" s="8" t="inlineStr">
        <x:is>
          <x:t xml:space="preserve">Датчик</x:t>
        </x:is>
      </x:c>
      <x:c r="D10" s="8" t="inlineStr">
        <x:is>
          <x:t xml:space="preserve">PIR motion sensor</x:t>
        </x:is>
      </x:c>
      <x:c r="E10" s="8" t="inlineStr">
        <x:is>
          <x:t xml:space="preserve">HC-SR501 type</x:t>
        </x:is>
      </x:c>
      <x:c r="F10" s="8" t="inlineStr">
        <x:is>
          <x:t xml:space="preserve">VCC / OUT / GND + jumper + 2 trimmers</x:t>
        </x:is>
      </x:c>
      <x:c r="G10" s="8" t="inlineStr">
        <x:is>
          <x:t xml:space="preserve">Детекция движения</x:t>
        </x:is>
      </x:c>
      <x:c r="H10" s="8" t="inlineStr">
        <x:is>
          <x:t xml:space="preserve">Средний</x:t>
        </x:is>
      </x:c>
      <x:c r="I10" s="8" t="inlineStr">
        <x:is>
          <x:t xml:space="preserve">Ядро Rev1</x:t>
        </x:is>
      </x:c>
      <x:c r="J10" s="8" t="inlineStr">
        <x:is>
          <x:t xml:space="preserve">Подтверждено</x:t>
        </x:is>
      </x:c>
      <x:c r="K10" s="9" t="n">
        <x:v>1</x:v>
      </x:c>
      <x:c r="L10" s="8" t="inlineStr">
        <x:is>
          <x:t xml:space="preserve">шт</x:t>
        </x:is>
      </x:c>
      <x:c r="M10" s="13" t="n"/>
      <x:c r="N10" s="8" t="inlineStr">
        <x:is>
          <x:t xml:space="preserve">Обычно 5V питание, TTL OUT</x:t>
        </x:is>
      </x:c>
      <x:c r="O10" s="8" t="inlineStr">
        <x:is>
          <x:t xml:space="preserve">Raspberry Pi</x:t>
        </x:is>
      </x:c>
      <x:c r="P10" s="8" t="inlineStr">
        <x:is>
          <x:t xml:space="preserve">Да</x:t>
        </x:is>
      </x:c>
      <x:c r="Q10" s="10" t="inlineStr">
        <x:is>
          <x:t xml:space="preserve"/>
        </x:is>
      </x:c>
      <x:c r="R10" s="10" t="inlineStr">
        <x:is>
          <x:t xml:space="preserve">Не тестировалось</x:t>
        </x:is>
      </x:c>
      <x:c r="S10" s="10" t="inlineStr">
        <x:is>
          <x:t xml:space="preserve">Проверить уровень OUT на реальном модуле</x:t>
        </x:is>
      </x:c>
      <x:c r="T10" s="10" t="inlineStr">
        <x:is>
          <x:t xml:space="preserve"/>
        </x:is>
      </x:c>
    </x:row>
    <x:row r="11" ht="36" customHeight="1">
      <x:c r="A11" s="8" t="n">
        <x:v>9</x:v>
      </x:c>
      <x:c r="B11" s="8" t="inlineStr">
        <x:is>
          <x:t xml:space="preserve">Фото 25</x:t>
        </x:is>
      </x:c>
      <x:c r="C11" s="8" t="inlineStr">
        <x:is>
          <x:t xml:space="preserve">Интерфейсный модуль</x:t>
        </x:is>
      </x:c>
      <x:c r="D11" s="8" t="inlineStr">
        <x:is>
          <x:t xml:space="preserve">Comparator board</x:t>
        </x:is>
      </x:c>
      <x:c r="E11" s="8" t="inlineStr">
        <x:is>
          <x:t xml:space="preserve">LM393 AO/DO module for external probe</x:t>
        </x:is>
      </x:c>
      <x:c r="F11" s="8" t="inlineStr">
        <x:is>
          <x:t xml:space="preserve">AO / DO / GND / VCC + 2-pin sensor input</x:t>
        </x:is>
      </x:c>
      <x:c r="G11" s="8" t="inlineStr">
        <x:is>
          <x:t xml:space="preserve">Лабораторный / внешний щуп / резистивный сенсор</x:t>
        </x:is>
      </x:c>
      <x:c r="H11" s="8" t="inlineStr">
        <x:is>
          <x:t xml:space="preserve">Низкий</x:t>
        </x:is>
      </x:c>
      <x:c r="I11" s="8" t="inlineStr">
        <x:is>
          <x:t xml:space="preserve">Laboratory / исследование</x:t>
        </x:is>
      </x:c>
      <x:c r="J11" s="8" t="inlineStr">
        <x:is>
          <x:t xml:space="preserve">Подтверждено</x:t>
        </x:is>
      </x:c>
      <x:c r="K11" s="9" t="n">
        <x:v>1</x:v>
      </x:c>
      <x:c r="L11" s="8" t="inlineStr">
        <x:is>
          <x:t xml:space="preserve">шт</x:t>
        </x:is>
      </x:c>
      <x:c r="M11" s="13" t="n"/>
      <x:c r="N11" s="8" t="inlineStr">
        <x:is>
          <x:t xml:space="preserve">Аналог + цифровой порог</x:t>
        </x:is>
      </x:c>
      <x:c r="O11" s="8" t="inlineStr">
        <x:is>
          <x:t xml:space="preserve">ESP32</x:t>
        </x:is>
      </x:c>
      <x:c r="P11" s="8" t="inlineStr">
        <x:is>
          <x:t xml:space="preserve">Исследовать</x:t>
        </x:is>
      </x:c>
      <x:c r="Q11" s="10" t="inlineStr">
        <x:is>
          <x:t xml:space="preserve"/>
        </x:is>
      </x:c>
      <x:c r="R11" s="10" t="inlineStr">
        <x:is>
          <x:t xml:space="preserve">Не тестировалось</x:t>
        </x:is>
      </x:c>
      <x:c r="S11" s="10" t="inlineStr">
        <x:is>
          <x:t xml:space="preserve">Определить, какой щуп к нему будет использоваться</x:t>
        </x:is>
      </x:c>
      <x:c r="T11" s="10" t="inlineStr">
        <x:is>
          <x:t xml:space="preserve">Сам модуль не является самостоятельным датчиком</x:t>
        </x:is>
      </x:c>
    </x:row>
    <x:row r="12" ht="36" customHeight="1">
      <x:c r="A12" s="8" t="n">
        <x:v>10</x:v>
      </x:c>
      <x:c r="B12" s="8" t="inlineStr">
        <x:is>
          <x:t xml:space="preserve">Фото 1</x:t>
        </x:is>
      </x:c>
      <x:c r="C12" s="8" t="inlineStr">
        <x:is>
          <x:t xml:space="preserve">Привод</x:t>
        </x:is>
      </x:c>
      <x:c r="D12" s="8" t="inlineStr">
        <x:is>
          <x:t xml:space="preserve">Servo</x:t>
        </x:is>
      </x:c>
      <x:c r="E12" s="8" t="inlineStr">
        <x:is>
          <x:t xml:space="preserve">MG996R</x:t>
        </x:is>
      </x:c>
      <x:c r="F12" s="8" t="inlineStr">
        <x:is>
          <x:t xml:space="preserve">Signal / +V / GND</x:t>
        </x:is>
      </x:c>
      <x:c r="G12" s="8" t="inlineStr">
        <x:is>
          <x:t xml:space="preserve">Поворот / наклон турели</x:t>
        </x:is>
      </x:c>
      <x:c r="H12" s="8" t="inlineStr">
        <x:is>
          <x:t xml:space="preserve">Высокий</x:t>
        </x:is>
      </x:c>
      <x:c r="I12" s="8" t="inlineStr">
        <x:is>
          <x:t xml:space="preserve">Ядро Rev1</x:t>
        </x:is>
      </x:c>
      <x:c r="J12" s="8" t="inlineStr">
        <x:is>
          <x:t xml:space="preserve">Подтверждено</x:t>
        </x:is>
      </x:c>
      <x:c r="K12" s="9" t="n">
        <x:v>1</x:v>
      </x:c>
      <x:c r="L12" s="8" t="inlineStr">
        <x:is>
          <x:t xml:space="preserve">шт</x:t>
        </x:is>
      </x:c>
      <x:c r="M12" s="13" t="n"/>
      <x:c r="N12" s="8" t="inlineStr">
        <x:is>
          <x:t xml:space="preserve">Обычно 5–6V, отдельный rail</x:t>
        </x:is>
      </x:c>
      <x:c r="O12" s="8" t="inlineStr">
        <x:is>
          <x:t xml:space="preserve">Raspberry Pi</x:t>
        </x:is>
      </x:c>
      <x:c r="P12" s="8" t="inlineStr">
        <x:is>
          <x:t xml:space="preserve">Да</x:t>
        </x:is>
      </x:c>
      <x:c r="Q12" s="10" t="inlineStr">
        <x:is>
          <x:t xml:space="preserve"/>
        </x:is>
      </x:c>
      <x:c r="R12" s="10" t="inlineStr">
        <x:is>
          <x:t xml:space="preserve">Не тестировалось</x:t>
        </x:is>
      </x:c>
      <x:c r="S12" s="10" t="inlineStr">
        <x:is>
          <x:t xml:space="preserve">Не питать от Pi напрямую</x:t>
        </x:is>
      </x:c>
      <x:c r="T12" s="10" t="inlineStr">
        <x:is>
          <x:t xml:space="preserve">Желателен PCA9685, в инвентаре пока не подтвержден</x:t>
        </x:is>
      </x:c>
    </x:row>
    <x:row r="13" ht="36" customHeight="1">
      <x:c r="A13" s="8" t="n">
        <x:v>11</x:v>
      </x:c>
      <x:c r="B13" s="8" t="inlineStr">
        <x:is>
          <x:t xml:space="preserve">Фото 2</x:t>
        </x:is>
      </x:c>
      <x:c r="C13" s="8" t="inlineStr">
        <x:is>
          <x:t xml:space="preserve">Привод</x:t>
        </x:is>
      </x:c>
      <x:c r="D13" s="8" t="inlineStr">
        <x:is>
          <x:t xml:space="preserve">Stepper motor</x:t>
        </x:is>
      </x:c>
      <x:c r="E13" s="8" t="inlineStr">
        <x:is>
          <x:t xml:space="preserve">Неизвестный шаговый мотор</x:t>
        </x:is>
      </x:c>
      <x:c r="F13" s="8" t="inlineStr">
        <x:is>
          <x:t xml:space="preserve">4 провода, 4-pin разъём</x:t>
        </x:is>
      </x:c>
      <x:c r="G13" s="8" t="inlineStr">
        <x:is>
          <x:t xml:space="preserve">Исследовательский модуль для Laboratory</x:t>
        </x:is>
      </x:c>
      <x:c r="H13" s="8" t="inlineStr">
        <x:is>
          <x:t xml:space="preserve">Низкий</x:t>
        </x:is>
      </x:c>
      <x:c r="I13" s="8" t="inlineStr">
        <x:is>
          <x:t xml:space="preserve">Laboratory / исследование</x:t>
        </x:is>
      </x:c>
      <x:c r="J13" s="8" t="inlineStr">
        <x:is>
          <x:t xml:space="preserve">Нужно уточнить</x:t>
        </x:is>
      </x:c>
      <x:c r="K13" s="9" t="n">
        <x:v>1</x:v>
      </x:c>
      <x:c r="L13" s="8" t="inlineStr">
        <x:is>
          <x:t xml:space="preserve">шт</x:t>
        </x:is>
      </x:c>
      <x:c r="M13" s="13" t="n"/>
      <x:c r="N13" s="8" t="inlineStr">
        <x:is>
          <x:t xml:space="preserve">Пока неизвестно</x:t>
        </x:is>
      </x:c>
      <x:c r="O13" s="8" t="inlineStr">
        <x:is>
          <x:t xml:space="preserve">Laboratory</x:t>
        </x:is>
      </x:c>
      <x:c r="P13" s="8" t="inlineStr">
        <x:is>
          <x:t xml:space="preserve">Исследовать</x:t>
        </x:is>
      </x:c>
      <x:c r="Q13" s="10" t="inlineStr">
        <x:is>
          <x:t xml:space="preserve"/>
        </x:is>
      </x:c>
      <x:c r="R13" s="10" t="inlineStr">
        <x:is>
          <x:t xml:space="preserve">Не тестировалось</x:t>
        </x:is>
      </x:c>
      <x:c r="S13" s="10" t="inlineStr">
        <x:is>
          <x:t xml:space="preserve">Прозвонить пары обмоток и определить параметры</x:t>
        </x:is>
      </x:c>
      <x:c r="T13" s="10" t="inlineStr">
        <x:is>
          <x:t xml:space="preserve">Вкладка Laboratory должна уметь тестировать внеплановые модули</x:t>
        </x:is>
      </x:c>
    </x:row>
    <x:row r="14" ht="36" customHeight="1">
      <x:c r="A14" s="8" t="n">
        <x:v>12</x:v>
      </x:c>
      <x:c r="B14" s="8" t="inlineStr">
        <x:is>
          <x:t xml:space="preserve">Фото 8</x:t>
        </x:is>
      </x:c>
      <x:c r="C14" s="8" t="inlineStr">
        <x:is>
          <x:t xml:space="preserve">Привод</x:t>
        </x:is>
      </x:c>
      <x:c r="D14" s="8" t="inlineStr">
        <x:is>
          <x:t xml:space="preserve">Stepper motor</x:t>
        </x:is>
      </x:c>
      <x:c r="E14" s="8" t="inlineStr">
        <x:is>
          <x:t xml:space="preserve">Applied Motion Products HT17-268-002</x:t>
        </x:is>
      </x:c>
      <x:c r="F14" s="8" t="inlineStr">
        <x:is>
          <x:t xml:space="preserve">4 провода, 4-pin разъём</x:t>
        </x:is>
      </x:c>
      <x:c r="G14" s="8" t="inlineStr">
        <x:is>
          <x:t xml:space="preserve">Возможный привод оси / исследовательский модуль</x:t>
        </x:is>
      </x:c>
      <x:c r="H14" s="8" t="inlineStr">
        <x:is>
          <x:t xml:space="preserve">Средний</x:t>
        </x:is>
      </x:c>
      <x:c r="I14" s="8" t="inlineStr">
        <x:is>
          <x:t xml:space="preserve">Laboratory / исследование</x:t>
        </x:is>
      </x:c>
      <x:c r="J14" s="8" t="inlineStr">
        <x:is>
          <x:t xml:space="preserve">Подтверждено</x:t>
        </x:is>
      </x:c>
      <x:c r="K14" s="9" t="n">
        <x:v>1</x:v>
      </x:c>
      <x:c r="L14" s="8" t="inlineStr">
        <x:is>
          <x:t xml:space="preserve">шт</x:t>
        </x:is>
      </x:c>
      <x:c r="M14" s="13" t="n"/>
      <x:c r="N14" s="8" t="inlineStr">
        <x:is>
          <x:t xml:space="preserve">Нужен stepper driver</x:t>
        </x:is>
      </x:c>
      <x:c r="O14" s="8" t="inlineStr">
        <x:is>
          <x:t xml:space="preserve">Laboratory</x:t>
        </x:is>
      </x:c>
      <x:c r="P14" s="8" t="inlineStr">
        <x:is>
          <x:t xml:space="preserve">Исследовать</x:t>
        </x:is>
      </x:c>
      <x:c r="Q14" s="10" t="inlineStr">
        <x:is>
          <x:t xml:space="preserve"/>
        </x:is>
      </x:c>
      <x:c r="R14" s="10" t="inlineStr">
        <x:is>
          <x:t xml:space="preserve">Не тестировалось</x:t>
        </x:is>
      </x:c>
      <x:c r="S14" s="10" t="inlineStr">
        <x:is>
          <x:t xml:space="preserve">Подобрать/подтвердить драйвер</x:t>
        </x:is>
      </x:c>
      <x:c r="T14" s="10" t="inlineStr">
        <x:is>
          <x:t xml:space="preserve"/>
        </x:is>
      </x:c>
    </x:row>
    <x:row r="15" ht="36" customHeight="1">
      <x:c r="A15" s="8" t="n">
        <x:v>13</x:v>
      </x:c>
      <x:c r="B15" s="8" t="inlineStr">
        <x:is>
          <x:t xml:space="preserve">Фото 3</x:t>
        </x:is>
      </x:c>
      <x:c r="C15" s="8" t="inlineStr">
        <x:is>
          <x:t xml:space="preserve">Гидравлика</x:t>
        </x:is>
      </x:c>
      <x:c r="D15" s="8" t="inlineStr">
        <x:is>
          <x:t xml:space="preserve">Pressure pump</x:t>
        </x:is>
      </x:c>
      <x:c r="E15" s="8" t="inlineStr">
        <x:is>
          <x:t xml:space="preserve">SEAFLO 12V water pressure pump</x:t>
        </x:is>
      </x:c>
      <x:c r="F15" s="8" t="inlineStr">
        <x:is>
          <x:t xml:space="preserve">Силовые провода + гидролинии</x:t>
        </x:is>
      </x:c>
      <x:c r="G15" s="8" t="inlineStr">
        <x:is>
          <x:t xml:space="preserve">Водяной тракт / распыление</x:t>
        </x:is>
      </x:c>
      <x:c r="H15" s="8" t="inlineStr">
        <x:is>
          <x:t xml:space="preserve">Средний</x:t>
        </x:is>
      </x:c>
      <x:c r="I15" s="8" t="inlineStr">
        <x:is>
          <x:t xml:space="preserve">Ядро Rev1</x:t>
        </x:is>
      </x:c>
      <x:c r="J15" s="8" t="inlineStr">
        <x:is>
          <x:t xml:space="preserve">Подтверждено</x:t>
        </x:is>
      </x:c>
      <x:c r="K15" s="9" t="n">
        <x:v>1</x:v>
      </x:c>
      <x:c r="L15" s="8" t="inlineStr">
        <x:is>
          <x:t xml:space="preserve">шт</x:t>
        </x:is>
      </x:c>
      <x:c r="M15" s="13" t="n"/>
      <x:c r="N15" s="8" t="inlineStr">
        <x:is>
          <x:t xml:space="preserve">12V, силовая нагрузка</x:t>
        </x:is>
      </x:c>
      <x:c r="O15" s="8" t="inlineStr">
        <x:is>
          <x:t xml:space="preserve">Power</x:t>
        </x:is>
      </x:c>
      <x:c r="P15" s="8" t="inlineStr">
        <x:is>
          <x:t xml:space="preserve">Да</x:t>
        </x:is>
      </x:c>
      <x:c r="Q15" s="10" t="inlineStr">
        <x:is>
          <x:t xml:space="preserve"/>
        </x:is>
      </x:c>
      <x:c r="R15" s="10" t="inlineStr">
        <x:is>
          <x:t xml:space="preserve">Не тестировалось</x:t>
        </x:is>
      </x:c>
      <x:c r="S15" s="10" t="inlineStr">
        <x:is>
          <x:t xml:space="preserve">Запускать через лабораторник с ограничением тока</x:t>
        </x:is>
      </x:c>
      <x:c r="T15" s="10" t="inlineStr">
        <x:is>
          <x:t xml:space="preserve"/>
        </x:is>
      </x:c>
    </x:row>
    <x:row r="16" ht="36" customHeight="1">
      <x:c r="A16" s="8" t="n">
        <x:v>14</x:v>
      </x:c>
      <x:c r="B16" s="8" t="inlineStr">
        <x:is>
          <x:t xml:space="preserve">Фото 7</x:t>
        </x:is>
      </x:c>
      <x:c r="C16" s="8" t="inlineStr">
        <x:is>
          <x:t xml:space="preserve">Гидравлика</x:t>
        </x:is>
      </x:c>
      <x:c r="D16" s="8" t="inlineStr">
        <x:is>
          <x:t xml:space="preserve">Peristaltic pump</x:t>
        </x:is>
      </x:c>
      <x:c r="E16" s="8" t="inlineStr">
        <x:is>
          <x:t xml:space="preserve">Micro Peristaltic Pump DC 6V–12V Small Mini 500</x:t>
        </x:is>
      </x:c>
      <x:c r="F16" s="8" t="inlineStr">
        <x:is>
          <x:t xml:space="preserve">2 провода, трубки</x:t>
        </x:is>
      </x:c>
      <x:c r="G16" s="8" t="inlineStr">
        <x:is>
          <x:t xml:space="preserve">Дозирование / мягкий водяной контур</x:t>
        </x:is>
      </x:c>
      <x:c r="H16" s="8" t="inlineStr">
        <x:is>
          <x:t xml:space="preserve">Высокий</x:t>
        </x:is>
      </x:c>
      <x:c r="I16" s="8" t="inlineStr">
        <x:is>
          <x:t xml:space="preserve">Ядро Rev1</x:t>
        </x:is>
      </x:c>
      <x:c r="J16" s="8" t="inlineStr">
        <x:is>
          <x:t xml:space="preserve">Подтверждено</x:t>
        </x:is>
      </x:c>
      <x:c r="K16" s="9" t="n">
        <x:v>1</x:v>
      </x:c>
      <x:c r="L16" s="8" t="inlineStr">
        <x:is>
          <x:t xml:space="preserve">шт</x:t>
        </x:is>
      </x:c>
      <x:c r="M16" s="13" t="n"/>
      <x:c r="N16" s="8" t="inlineStr">
        <x:is>
          <x:t xml:space="preserve">6–12V, силовая нагрузка</x:t>
        </x:is>
      </x:c>
      <x:c r="O16" s="8" t="inlineStr">
        <x:is>
          <x:t xml:space="preserve">ESP32</x:t>
        </x:is>
      </x:c>
      <x:c r="P16" s="8" t="inlineStr">
        <x:is>
          <x:t xml:space="preserve">Да</x:t>
        </x:is>
      </x:c>
      <x:c r="Q16" s="10" t="inlineStr">
        <x:is>
          <x:t xml:space="preserve"/>
        </x:is>
      </x:c>
      <x:c r="R16" s="10" t="inlineStr">
        <x:is>
          <x:t xml:space="preserve">Не тестировалось</x:t>
        </x:is>
      </x:c>
      <x:c r="S16" s="10" t="inlineStr">
        <x:is>
          <x:t xml:space="preserve">Управлять через MOSFET + flyback</x:t>
        </x:is>
      </x:c>
      <x:c r="T16" s="10" t="inlineStr">
        <x:is>
          <x:t xml:space="preserve"/>
        </x:is>
      </x:c>
    </x:row>
    <x:row r="17" ht="36" customHeight="1">
      <x:c r="A17" s="8" t="n">
        <x:v>15</x:v>
      </x:c>
      <x:c r="B17" s="8" t="inlineStr">
        <x:is>
          <x:t xml:space="preserve">Фото 17</x:t>
        </x:is>
      </x:c>
      <x:c r="C17" s="8" t="inlineStr">
        <x:is>
          <x:t xml:space="preserve">Гидравлика</x:t>
        </x:is>
      </x:c>
      <x:c r="D17" s="8" t="inlineStr">
        <x:is>
          <x:t xml:space="preserve">Solenoid valve</x:t>
        </x:is>
      </x:c>
      <x:c r="E17" s="8" t="inlineStr">
        <x:is>
          <x:t xml:space="preserve">Мини-клапан, вероятно 3.7V-класс</x:t>
        </x:is>
      </x:c>
      <x:c r="F17" s="8" t="inlineStr">
        <x:is>
          <x:t xml:space="preserve">2 провода, 2 штуцера</x:t>
        </x:is>
      </x:c>
      <x:c r="G17" s="8" t="inlineStr">
        <x:is>
          <x:t xml:space="preserve">Отдельный клапанный каскад</x:t>
        </x:is>
      </x:c>
      <x:c r="H17" s="8" t="inlineStr">
        <x:is>
          <x:t xml:space="preserve">Низкий</x:t>
        </x:is>
      </x:c>
      <x:c r="I17" s="8" t="inlineStr">
        <x:is>
          <x:t xml:space="preserve">Laboratory / исследование</x:t>
        </x:is>
      </x:c>
      <x:c r="J17" s="8" t="inlineStr">
        <x:is>
          <x:t xml:space="preserve">Нужно уточнить</x:t>
        </x:is>
      </x:c>
      <x:c r="K17" s="9" t="n">
        <x:v>1</x:v>
      </x:c>
      <x:c r="L17" s="8" t="inlineStr">
        <x:is>
          <x:t xml:space="preserve">шт</x:t>
        </x:is>
      </x:c>
      <x:c r="M17" s="13" t="n"/>
      <x:c r="N17" s="8" t="inlineStr">
        <x:is>
          <x:t xml:space="preserve">Напряжение и ток катушки неизвестны</x:t>
        </x:is>
      </x:c>
      <x:c r="O17" s="8" t="inlineStr">
        <x:is>
          <x:t xml:space="preserve">Power</x:t>
        </x:is>
      </x:c>
      <x:c r="P17" s="8" t="inlineStr">
        <x:is>
          <x:t xml:space="preserve">Исследовать</x:t>
        </x:is>
      </x:c>
      <x:c r="Q17" s="10" t="inlineStr">
        <x:is>
          <x:t xml:space="preserve"/>
        </x:is>
      </x:c>
      <x:c r="R17" s="10" t="inlineStr">
        <x:is>
          <x:t xml:space="preserve">Не тестировалось</x:t>
        </x:is>
      </x:c>
      <x:c r="S17" s="10" t="inlineStr">
        <x:is>
          <x:t xml:space="preserve">Измерить напряжение/ток катушки перед трассировкой</x:t>
        </x:is>
      </x:c>
      <x:c r="T17" s="10" t="inlineStr">
        <x:is>
          <x:t xml:space="preserve">Сейчас спорный модуль</x:t>
        </x:is>
      </x:c>
    </x:row>
    <x:row r="18" ht="36" customHeight="1">
      <x:c r="A18" s="8" t="n">
        <x:v>16</x:v>
      </x:c>
      <x:c r="B18" s="8" t="inlineStr">
        <x:is>
          <x:t xml:space="preserve">Фото 10</x:t>
        </x:is>
      </x:c>
      <x:c r="C18" s="8" t="inlineStr">
        <x:is>
          <x:t xml:space="preserve">Силовой ключ</x:t>
        </x:is>
      </x:c>
      <x:c r="D18" s="8" t="inlineStr">
        <x:is>
          <x:t xml:space="preserve">MOSFET</x:t>
        </x:is>
      </x:c>
      <x:c r="E18" s="8" t="inlineStr">
        <x:is>
          <x:t xml:space="preserve">IRLZ44N, TO-220</x:t>
        </x:is>
      </x:c>
      <x:c r="F18" s="8" t="inlineStr">
        <x:is>
          <x:t xml:space="preserve">G / D / S (спереди, ножки вниз)</x:t>
        </x:is>
      </x:c>
      <x:c r="G18" s="8" t="inlineStr">
        <x:is>
          <x:t xml:space="preserve">Силовой ключ нагрузки</x:t>
        </x:is>
      </x:c>
      <x:c r="H18" s="8" t="inlineStr">
        <x:is>
          <x:t xml:space="preserve">Высокий</x:t>
        </x:is>
      </x:c>
      <x:c r="I18" s="8" t="inlineStr">
        <x:is>
          <x:t xml:space="preserve">Ядро Rev1</x:t>
        </x:is>
      </x:c>
      <x:c r="J18" s="8" t="inlineStr">
        <x:is>
          <x:t xml:space="preserve">Подтверждено</x:t>
        </x:is>
      </x:c>
      <x:c r="K18" s="9" t="n">
        <x:v>1</x:v>
      </x:c>
      <x:c r="L18" s="8" t="inlineStr">
        <x:is>
          <x:t xml:space="preserve">шт</x:t>
        </x:is>
      </x:c>
      <x:c r="M18" s="13" t="n"/>
      <x:c r="N18" s="8" t="inlineStr">
        <x:is>
          <x:t xml:space="preserve">Logic-level MOSFET</x:t>
        </x:is>
      </x:c>
      <x:c r="O18" s="8" t="inlineStr">
        <x:is>
          <x:t xml:space="preserve">Power</x:t>
        </x:is>
      </x:c>
      <x:c r="P18" s="8" t="inlineStr">
        <x:is>
          <x:t xml:space="preserve">Да</x:t>
        </x:is>
      </x:c>
      <x:c r="Q18" s="10" t="inlineStr">
        <x:is>
          <x:t xml:space="preserve"/>
        </x:is>
      </x:c>
      <x:c r="R18" s="10" t="inlineStr">
        <x:is>
          <x:t xml:space="preserve">Не тестировалось</x:t>
        </x:is>
      </x:c>
      <x:c r="S18" s="10" t="inlineStr">
        <x:is>
          <x:t xml:space="preserve">Добавить gate resistor, pull-down и flyback diode</x:t>
        </x:is>
      </x:c>
      <x:c r="T18" s="10" t="inlineStr">
        <x:is>
          <x:t xml:space="preserve"/>
        </x:is>
      </x:c>
    </x:row>
    <x:row r="19" ht="36" customHeight="1">
      <x:c r="A19" s="8" t="n">
        <x:v>17</x:v>
      </x:c>
      <x:c r="B19" s="8" t="inlineStr">
        <x:is>
          <x:t xml:space="preserve">Фото 9</x:t>
        </x:is>
      </x:c>
      <x:c r="C19" s="8" t="inlineStr">
        <x:is>
          <x:t xml:space="preserve">Индикация</x:t>
        </x:is>
      </x:c>
      <x:c r="D19" s="8" t="inlineStr">
        <x:is>
          <x:t xml:space="preserve">RGB LED module</x:t>
        </x:is>
      </x:c>
      <x:c r="E19" s="8" t="inlineStr">
        <x:is>
          <x:t xml:space="preserve">3_Color RGB LED module</x:t>
        </x:is>
      </x:c>
      <x:c r="F19" s="8" t="inlineStr">
        <x:is>
          <x:t xml:space="preserve">- / R / G / B</x:t>
        </x:is>
      </x:c>
      <x:c r="G19" s="8" t="inlineStr">
        <x:is>
          <x:t xml:space="preserve">Индикация / отладка</x:t>
        </x:is>
      </x:c>
      <x:c r="H19" s="8" t="inlineStr">
        <x:is>
          <x:t xml:space="preserve">Низкий</x:t>
        </x:is>
      </x:c>
      <x:c r="I19" s="8" t="inlineStr">
        <x:is>
          <x:t xml:space="preserve">Laboratory / исследование</x:t>
        </x:is>
      </x:c>
      <x:c r="J19" s="8" t="inlineStr">
        <x:is>
          <x:t xml:space="preserve">Подтверждено</x:t>
        </x:is>
      </x:c>
      <x:c r="K19" s="9" t="n">
        <x:v>1</x:v>
      </x:c>
      <x:c r="L19" s="8" t="inlineStr">
        <x:is>
          <x:t xml:space="preserve">шт</x:t>
        </x:is>
      </x:c>
      <x:c r="M19" s="13" t="n"/>
      <x:c r="N19" s="8" t="inlineStr">
        <x:is>
          <x:t xml:space="preserve">Низковольтный модуль</x:t>
        </x:is>
      </x:c>
      <x:c r="O19" s="8" t="inlineStr">
        <x:is>
          <x:t xml:space="preserve">ESP32</x:t>
        </x:is>
      </x:c>
      <x:c r="P19" s="8" t="inlineStr">
        <x:is>
          <x:t xml:space="preserve">Исследовать</x:t>
        </x:is>
      </x:c>
      <x:c r="Q19" s="10" t="inlineStr">
        <x:is>
          <x:t xml:space="preserve"/>
        </x:is>
      </x:c>
      <x:c r="R19" s="10" t="inlineStr">
        <x:is>
          <x:t xml:space="preserve">Не тестировалось</x:t>
        </x:is>
      </x:c>
      <x:c r="S19" s="10" t="inlineStr">
        <x:is>
          <x:t xml:space="preserve">Подтвердить общий вывод мультиметром</x:t>
        </x:is>
      </x:c>
      <x:c r="T19" s="10" t="inlineStr">
        <x:is>
          <x:t xml:space="preserve"/>
        </x:is>
      </x:c>
    </x:row>
    <x:row r="20" ht="36" customHeight="1">
      <x:c r="A20" s="8" t="n">
        <x:v>18</x:v>
      </x:c>
      <x:c r="B20" s="8" t="inlineStr">
        <x:is>
          <x:t xml:space="preserve">Фото 12</x:t>
        </x:is>
      </x:c>
      <x:c r="C20" s="8" t="inlineStr">
        <x:is>
          <x:t xml:space="preserve">Свет</x:t>
        </x:is>
      </x:c>
      <x:c r="D20" s="8" t="inlineStr">
        <x:is>
          <x:t xml:space="preserve">High-power LED</x:t>
        </x:is>
      </x:c>
      <x:c r="E20" s="8" t="inlineStr">
        <x:is>
          <x:t xml:space="preserve">Проектный строб-модуль, high-power LED emitter</x:t>
        </x:is>
      </x:c>
      <x:c r="F20" s="8" t="inlineStr">
        <x:is>
          <x:t xml:space="preserve">+ / -</x:t>
        </x:is>
      </x:c>
      <x:c r="G20" s="8" t="inlineStr">
        <x:is>
          <x:t xml:space="preserve">Строб / прожектор</x:t>
        </x:is>
      </x:c>
      <x:c r="H20" s="8" t="inlineStr">
        <x:is>
          <x:t xml:space="preserve">Средний</x:t>
        </x:is>
      </x:c>
      <x:c r="I20" s="8" t="inlineStr">
        <x:is>
          <x:t xml:space="preserve">Поздний силовой каскад</x:t>
        </x:is>
      </x:c>
      <x:c r="J20" s="8" t="inlineStr">
        <x:is>
          <x:t xml:space="preserve">Подтверждено</x:t>
        </x:is>
      </x:c>
      <x:c r="K20" s="9" t="n">
        <x:v>1</x:v>
      </x:c>
      <x:c r="L20" s="8" t="inlineStr">
        <x:is>
          <x:t xml:space="preserve">шт</x:t>
        </x:is>
      </x:c>
      <x:c r="M20" s="13" t="n"/>
      <x:c r="N20" s="8" t="inlineStr">
        <x:is>
          <x:t xml:space="preserve">High-power LED, нужен CC driver</x:t>
        </x:is>
      </x:c>
      <x:c r="O20" s="8" t="inlineStr">
        <x:is>
          <x:t xml:space="preserve">Power</x:t>
        </x:is>
      </x:c>
      <x:c r="P20" s="8" t="inlineStr">
        <x:is>
          <x:t xml:space="preserve">Позже</x:t>
        </x:is>
      </x:c>
      <x:c r="Q20" s="10" t="inlineStr">
        <x:is>
          <x:t xml:space="preserve"/>
        </x:is>
      </x:c>
      <x:c r="R20" s="10" t="inlineStr">
        <x:is>
          <x:t xml:space="preserve">Не тестировалось</x:t>
        </x:is>
      </x:c>
      <x:c r="S20" s="10" t="inlineStr">
        <x:is>
          <x:t xml:space="preserve">Квалифицировать через лабораторник и драйвер</x:t>
        </x:is>
      </x:c>
      <x:c r="T20" s="10" t="inlineStr">
        <x:is>
          <x:t xml:space="preserve">Тот самый проектный строб</x:t>
        </x:is>
      </x:c>
    </x:row>
    <x:row r="21" ht="36" customHeight="1">
      <x:c r="A21" s="8" t="n">
        <x:v>19</x:v>
      </x:c>
      <x:c r="B21" s="8" t="inlineStr">
        <x:is>
          <x:t xml:space="preserve">Фото 18</x:t>
        </x:is>
      </x:c>
      <x:c r="C21" s="8" t="inlineStr">
        <x:is>
          <x:t xml:space="preserve">Свет</x:t>
        </x:is>
      </x:c>
      <x:c r="D21" s="8" t="inlineStr">
        <x:is>
          <x:t xml:space="preserve">LED driver</x:t>
        </x:is>
      </x:c>
      <x:c r="E21" s="8" t="inlineStr">
        <x:is>
          <x:t xml:space="preserve">Constant current LED driver 50W, DC 12V–24V input</x:t>
        </x:is>
      </x:c>
      <x:c r="F21" s="8" t="inlineStr">
        <x:is>
          <x:t xml:space="preserve">DC-IN / LED+ / LED-</x:t>
        </x:is>
      </x:c>
      <x:c r="G21" s="8" t="inlineStr">
        <x:is>
          <x:t xml:space="preserve">Питание high-power LED / строба</x:t>
        </x:is>
      </x:c>
      <x:c r="H21" s="8" t="inlineStr">
        <x:is>
          <x:t xml:space="preserve">Средний</x:t>
        </x:is>
      </x:c>
      <x:c r="I21" s="8" t="inlineStr">
        <x:is>
          <x:t xml:space="preserve">Поздний силовой каскад</x:t>
        </x:is>
      </x:c>
      <x:c r="J21" s="8" t="inlineStr">
        <x:is>
          <x:t xml:space="preserve">Подтверждено</x:t>
        </x:is>
      </x:c>
      <x:c r="K21" s="9" t="n">
        <x:v>1</x:v>
      </x:c>
      <x:c r="L21" s="8" t="inlineStr">
        <x:is>
          <x:t xml:space="preserve">шт</x:t>
        </x:is>
      </x:c>
      <x:c r="M21" s="13" t="n"/>
      <x:c r="N21" s="8" t="inlineStr">
        <x:is>
          <x:t xml:space="preserve">12–24V in, constant current out</x:t>
        </x:is>
      </x:c>
      <x:c r="O21" s="8" t="inlineStr">
        <x:is>
          <x:t xml:space="preserve">Power</x:t>
        </x:is>
      </x:c>
      <x:c r="P21" s="8" t="inlineStr">
        <x:is>
          <x:t xml:space="preserve">Позже</x:t>
        </x:is>
      </x:c>
      <x:c r="Q21" s="10" t="inlineStr">
        <x:is>
          <x:t xml:space="preserve"/>
        </x:is>
      </x:c>
      <x:c r="R21" s="10" t="inlineStr">
        <x:is>
          <x:t xml:space="preserve">Не тестировалось</x:t>
        </x:is>
      </x:c>
      <x:c r="S21" s="10" t="inlineStr">
        <x:is>
          <x:t xml:space="preserve">Подтвердить совпадение по току с LED</x:t>
        </x:is>
      </x:c>
      <x:c r="T21" s="10" t="inlineStr">
        <x:is>
          <x:t xml:space="preserve"/>
        </x:is>
      </x:c>
    </x:row>
    <x:row r="22" ht="36" customHeight="1">
      <x:c r="A22" s="8" t="n">
        <x:v>20</x:v>
      </x:c>
      <x:c r="B22" s="8" t="inlineStr">
        <x:is>
          <x:t xml:space="preserve">Фото 5</x:t>
        </x:is>
      </x:c>
      <x:c r="C22" s="8" t="inlineStr">
        <x:is>
          <x:t xml:space="preserve">Акустика</x:t>
        </x:is>
      </x:c>
      <x:c r="D22" s="8" t="inlineStr">
        <x:is>
          <x:t xml:space="preserve">Ultrasonic horn</x:t>
        </x:is>
      </x:c>
      <x:c r="E22" s="8" t="inlineStr">
        <x:is>
          <x:t xml:space="preserve">5140 Ultrasonic Speaker Horn</x:t>
        </x:is>
      </x:c>
      <x:c r="F22" s="8" t="inlineStr">
        <x:is>
          <x:t xml:space="preserve">2 провода</x:t>
        </x:is>
      </x:c>
      <x:c r="G22" s="8" t="inlineStr">
        <x:is>
          <x:t xml:space="preserve">Ультразвуковой / направленный акустический каскад</x:t>
        </x:is>
      </x:c>
      <x:c r="H22" s="8" t="inlineStr">
        <x:is>
          <x:t xml:space="preserve">Низкий</x:t>
        </x:is>
      </x:c>
      <x:c r="I22" s="8" t="inlineStr">
        <x:is>
          <x:t xml:space="preserve">Поздний силовой каскад</x:t>
        </x:is>
      </x:c>
      <x:c r="J22" s="8" t="inlineStr">
        <x:is>
          <x:t xml:space="preserve">Подтверждено</x:t>
        </x:is>
      </x:c>
      <x:c r="K22" s="9" t="n">
        <x:v>1</x:v>
      </x:c>
      <x:c r="L22" s="8" t="inlineStr">
        <x:is>
          <x:t xml:space="preserve">шт</x:t>
        </x:is>
      </x:c>
      <x:c r="M22" s="13" t="n"/>
      <x:c r="N22" s="8" t="inlineStr">
        <x:is>
          <x:t xml:space="preserve">2-wire acoustic load</x:t>
        </x:is>
      </x:c>
      <x:c r="O22" s="8" t="inlineStr">
        <x:is>
          <x:t xml:space="preserve">Audio</x:t>
        </x:is>
      </x:c>
      <x:c r="P22" s="8" t="inlineStr">
        <x:is>
          <x:t xml:space="preserve">Позже</x:t>
        </x:is>
      </x:c>
      <x:c r="Q22" s="10" t="inlineStr">
        <x:is>
          <x:t xml:space="preserve"/>
        </x:is>
      </x:c>
      <x:c r="R22" s="10" t="inlineStr">
        <x:is>
          <x:t xml:space="preserve">Не тестировалось</x:t>
        </x:is>
      </x:c>
      <x:c r="S22" s="10" t="inlineStr">
        <x:is>
          <x:t xml:space="preserve">Проверить реальный рабочий диапазон; спецификация продавца подозрительна</x:t>
        </x:is>
      </x:c>
      <x:c r="T22" s="10" t="inlineStr">
        <x:is>
          <x:t xml:space="preserve">Diameter 51mm, Frequency Range as supplied by seller</x:t>
        </x:is>
      </x:c>
    </x:row>
    <x:row r="23" ht="36" customHeight="1">
      <x:c r="A23" s="8" t="n">
        <x:v>21</x:v>
      </x:c>
      <x:c r="B23" s="8" t="inlineStr">
        <x:is>
          <x:t xml:space="preserve">Фото 6</x:t>
        </x:is>
      </x:c>
      <x:c r="C23" s="8" t="inlineStr">
        <x:is>
          <x:t xml:space="preserve">Акустика</x:t>
        </x:is>
      </x:c>
      <x:c r="D23" s="8" t="inlineStr">
        <x:is>
          <x:t xml:space="preserve">Square horn</x:t>
        </x:is>
      </x:c>
      <x:c r="E23" s="8" t="inlineStr">
        <x:is>
          <x:t xml:space="preserve">4 inch 110×110mm Square Horn</x:t>
        </x:is>
      </x:c>
      <x:c r="F23" s="8" t="inlineStr">
        <x:is>
          <x:t xml:space="preserve">Пассивный рупор / волновод</x:t>
        </x:is>
      </x:c>
      <x:c r="G23" s="8" t="inlineStr">
        <x:is>
          <x:t xml:space="preserve">Направленный звук</x:t>
        </x:is>
      </x:c>
      <x:c r="H23" s="8" t="inlineStr">
        <x:is>
          <x:t xml:space="preserve">Низкий</x:t>
        </x:is>
      </x:c>
      <x:c r="I23" s="8" t="inlineStr">
        <x:is>
          <x:t xml:space="preserve">Поздний силовой каскад</x:t>
        </x:is>
      </x:c>
      <x:c r="J23" s="8" t="inlineStr">
        <x:is>
          <x:t xml:space="preserve">Подтверждено</x:t>
        </x:is>
      </x:c>
      <x:c r="K23" s="9" t="n">
        <x:v>1</x:v>
      </x:c>
      <x:c r="L23" s="8" t="inlineStr">
        <x:is>
          <x:t xml:space="preserve">шт</x:t>
        </x:is>
      </x:c>
      <x:c r="M23" s="13" t="n"/>
      <x:c r="N23" s="8" t="inlineStr">
        <x:is>
          <x:t xml:space="preserve">Пассивная акустика</x:t>
        </x:is>
      </x:c>
      <x:c r="O23" s="8" t="inlineStr">
        <x:is>
          <x:t xml:space="preserve">Audio</x:t>
        </x:is>
      </x:c>
      <x:c r="P23" s="8" t="inlineStr">
        <x:is>
          <x:t xml:space="preserve">Позже</x:t>
        </x:is>
      </x:c>
      <x:c r="Q23" s="10" t="inlineStr">
        <x:is>
          <x:t xml:space="preserve"/>
        </x:is>
      </x:c>
      <x:c r="R23" s="10" t="inlineStr">
        <x:is>
          <x:t xml:space="preserve">Не тестировалось</x:t>
        </x:is>
      </x:c>
      <x:c r="S23" s="10" t="inlineStr">
        <x:is>
          <x:t xml:space="preserve">Подбирать вместе с аудио-драйвером</x:t>
        </x:is>
      </x:c>
      <x:c r="T23" s="10" t="inlineStr">
        <x:is>
          <x:t xml:space="preserve"/>
        </x:is>
      </x:c>
    </x:row>
    <x:row r="24" ht="36" customHeight="1">
      <x:c r="A24" s="8" t="n">
        <x:v>22</x:v>
      </x:c>
      <x:c r="B24" s="8" t="inlineStr">
        <x:is>
          <x:t xml:space="preserve">Фото 11</x:t>
        </x:is>
      </x:c>
      <x:c r="C24" s="8" t="inlineStr">
        <x:is>
          <x:t xml:space="preserve">Аудио</x:t>
        </x:is>
      </x:c>
      <x:c r="D24" s="8" t="inlineStr">
        <x:is>
          <x:t xml:space="preserve">Power amplifier</x:t>
        </x:is>
      </x:c>
      <x:c r="E24" s="8" t="inlineStr">
        <x:is>
          <x:t xml:space="preserve">TPA3116D2 XH-M543, 12V/24V, 120W×2</x:t>
        </x:is>
      </x:c>
      <x:c r="F24" s="8" t="inlineStr">
        <x:is>
          <x:t xml:space="preserve">Питание + 2 канала выхода + входной разъём</x:t>
        </x:is>
      </x:c>
      <x:c r="G24" s="8" t="inlineStr">
        <x:is>
          <x:t xml:space="preserve">Основной громкий аудиоканал</x:t>
        </x:is>
      </x:c>
      <x:c r="H24" s="8" t="inlineStr">
        <x:is>
          <x:t xml:space="preserve">Средний</x:t>
        </x:is>
      </x:c>
      <x:c r="I24" s="8" t="inlineStr">
        <x:is>
          <x:t xml:space="preserve">Поздний силовой каскад</x:t>
        </x:is>
      </x:c>
      <x:c r="J24" s="8" t="inlineStr">
        <x:is>
          <x:t xml:space="preserve">Подтверждено</x:t>
        </x:is>
      </x:c>
      <x:c r="K24" s="9" t="n">
        <x:v>1</x:v>
      </x:c>
      <x:c r="L24" s="8" t="inlineStr">
        <x:is>
          <x:t xml:space="preserve">шт</x:t>
        </x:is>
      </x:c>
      <x:c r="M24" s="13" t="n"/>
      <x:c r="N24" s="8" t="inlineStr">
        <x:is>
          <x:t xml:space="preserve">12V/24V power amp</x:t>
        </x:is>
      </x:c>
      <x:c r="O24" s="8" t="inlineStr">
        <x:is>
          <x:t xml:space="preserve">Audio</x:t>
        </x:is>
      </x:c>
      <x:c r="P24" s="8" t="inlineStr">
        <x:is>
          <x:t xml:space="preserve">Позже</x:t>
        </x:is>
      </x:c>
      <x:c r="Q24" s="10" t="inlineStr">
        <x:is>
          <x:t xml:space="preserve"/>
        </x:is>
      </x:c>
      <x:c r="R24" s="10" t="inlineStr">
        <x:is>
          <x:t xml:space="preserve">Не тестировалось</x:t>
        </x:is>
      </x:c>
      <x:c r="S24" s="10" t="inlineStr">
        <x:is>
          <x:t xml:space="preserve">Рассматривать как основной мощный аудио-каскад</x:t>
        </x:is>
      </x:c>
      <x:c r="T24" s="10" t="inlineStr">
        <x:is>
          <x:t xml:space="preserve"/>
        </x:is>
      </x:c>
    </x:row>
    <x:row r="25" ht="36" customHeight="1">
      <x:c r="A25" s="8" t="n">
        <x:v>23</x:v>
      </x:c>
      <x:c r="B25" s="8" t="inlineStr">
        <x:is>
          <x:t xml:space="preserve">Фото 15</x:t>
        </x:is>
      </x:c>
      <x:c r="C25" s="8" t="inlineStr">
        <x:is>
          <x:t xml:space="preserve">Аудио</x:t>
        </x:is>
      </x:c>
      <x:c r="D25" s="8" t="inlineStr">
        <x:is>
          <x:t xml:space="preserve">Small amplifier</x:t>
        </x:is>
      </x:c>
      <x:c r="E25" s="8" t="inlineStr">
        <x:is>
          <x:t xml:space="preserve">PAM8403 / HW-104 stereo amp</x:t>
        </x:is>
      </x:c>
      <x:c r="F25" s="8" t="inlineStr">
        <x:is>
          <x:t xml:space="preserve">L / G / R, 5V +/-, OUT L, OUT R</x:t>
        </x:is>
      </x:c>
      <x:c r="G25" s="8" t="inlineStr">
        <x:is>
          <x:t xml:space="preserve">Вспомогательный аудиоканал</x:t>
        </x:is>
      </x:c>
      <x:c r="H25" s="8" t="inlineStr">
        <x:is>
          <x:t xml:space="preserve">Низкий</x:t>
        </x:is>
      </x:c>
      <x:c r="I25" s="8" t="inlineStr">
        <x:is>
          <x:t xml:space="preserve">Laboratory / исследование</x:t>
        </x:is>
      </x:c>
      <x:c r="J25" s="8" t="inlineStr">
        <x:is>
          <x:t xml:space="preserve">Под вопросом</x:t>
        </x:is>
      </x:c>
      <x:c r="K25" s="9" t="n">
        <x:v>1</x:v>
      </x:c>
      <x:c r="L25" s="8" t="inlineStr">
        <x:is>
          <x:t xml:space="preserve">шт</x:t>
        </x:is>
      </x:c>
      <x:c r="M25" s="13" t="n"/>
      <x:c r="N25" s="8" t="inlineStr">
        <x:is>
          <x:t xml:space="preserve">5V small amp</x:t>
        </x:is>
      </x:c>
      <x:c r="O25" s="8" t="inlineStr">
        <x:is>
          <x:t xml:space="preserve">Audio</x:t>
        </x:is>
      </x:c>
      <x:c r="P25" s="8" t="inlineStr">
        <x:is>
          <x:t xml:space="preserve">Исследовать</x:t>
        </x:is>
      </x:c>
      <x:c r="Q25" s="10" t="inlineStr">
        <x:is>
          <x:t xml:space="preserve"/>
        </x:is>
      </x:c>
      <x:c r="R25" s="10" t="inlineStr">
        <x:is>
          <x:t xml:space="preserve">Не тестировалось</x:t>
        </x:is>
      </x:c>
      <x:c r="S25" s="10" t="inlineStr">
        <x:is>
          <x:t xml:space="preserve">Определить, нужен ли вообще при наличии TPA3116</x:t>
        </x:is>
      </x:c>
      <x:c r="T25" s="10" t="inlineStr">
        <x:is>
          <x:t xml:space="preserve"/>
        </x:is>
      </x:c>
    </x:row>
    <x:row r="26" ht="36" customHeight="1">
      <x:c r="A26" s="8" t="n">
        <x:v>24</x:v>
      </x:c>
      <x:c r="B26" s="8" t="inlineStr">
        <x:is>
          <x:t xml:space="preserve">Фото 13</x:t>
        </x:is>
      </x:c>
      <x:c r="C26" s="8" t="inlineStr">
        <x:is>
          <x:t xml:space="preserve">Сервис / отладка</x:t>
        </x:is>
      </x:c>
      <x:c r="D26" s="8" t="inlineStr">
        <x:is>
          <x:t xml:space="preserve">USB↔TTL adapter</x:t>
        </x:is>
      </x:c>
      <x:c r="E26" s="8" t="inlineStr">
        <x:is>
          <x:t xml:space="preserve">CH340 USB to TTL</x:t>
        </x:is>
      </x:c>
      <x:c r="F26" s="8" t="inlineStr">
        <x:is>
          <x:t xml:space="preserve">5V / 3V3 / TXD / RXD / GND + jumper</x:t>
        </x:is>
      </x:c>
      <x:c r="G26" s="8" t="inlineStr">
        <x:is>
          <x:t xml:space="preserve">Прошивка / лог / UART-отладка</x:t>
        </x:is>
      </x:c>
      <x:c r="H26" s="8" t="inlineStr">
        <x:is>
          <x:t xml:space="preserve">Средний</x:t>
        </x:is>
      </x:c>
      <x:c r="I26" s="8" t="inlineStr">
        <x:is>
          <x:t xml:space="preserve">Laboratory / исследование</x:t>
        </x:is>
      </x:c>
      <x:c r="J26" s="8" t="inlineStr">
        <x:is>
          <x:t xml:space="preserve">Подтверждено</x:t>
        </x:is>
      </x:c>
      <x:c r="K26" s="9" t="n">
        <x:v>1</x:v>
      </x:c>
      <x:c r="L26" s="8" t="inlineStr">
        <x:is>
          <x:t xml:space="preserve">шт</x:t>
        </x:is>
      </x:c>
      <x:c r="M26" s="13" t="n"/>
      <x:c r="N26" s="8" t="inlineStr">
        <x:is>
          <x:t xml:space="preserve">USB↔TTL, 3.3V/5V selectable</x:t>
        </x:is>
      </x:c>
      <x:c r="O26" s="8" t="inlineStr">
        <x:is>
          <x:t xml:space="preserve">Service</x:t>
        </x:is>
      </x:c>
      <x:c r="P26" s="8" t="inlineStr">
        <x:is>
          <x:t xml:space="preserve">Исследовать</x:t>
        </x:is>
      </x:c>
      <x:c r="Q26" s="10" t="inlineStr">
        <x:is>
          <x:t xml:space="preserve"/>
        </x:is>
      </x:c>
      <x:c r="R26" s="10" t="inlineStr">
        <x:is>
          <x:t xml:space="preserve">Не тестировалось</x:t>
        </x:is>
      </x:c>
      <x:c r="S26" s="10" t="inlineStr">
        <x:is>
          <x:t xml:space="preserve">Это адаптер, а не автоматически драйвер для TFmini</x:t>
        </x:is>
      </x:c>
      <x:c r="T26" s="10" t="inlineStr">
        <x:is>
          <x:t xml:space="preserve"/>
        </x:is>
      </x:c>
    </x:row>
    <x:row r="27" ht="36" customHeight="1">
      <x:c r="A27" s="8" t="n">
        <x:v>25</x:v>
      </x:c>
      <x:c r="B27" s="8" t="inlineStr">
        <x:is>
          <x:t xml:space="preserve">Фото 14</x:t>
        </x:is>
      </x:c>
      <x:c r="C27" s="8" t="inlineStr">
        <x:is>
          <x:t xml:space="preserve">Питание</x:t>
        </x:is>
      </x:c>
      <x:c r="D27" s="8" t="inlineStr">
        <x:is>
          <x:t xml:space="preserve">Buck converter</x:t>
        </x:is>
      </x:c>
      <x:c r="E27" s="8" t="inlineStr">
        <x:is>
          <x:t xml:space="preserve">Adjustable buck, LM2596-class</x:t>
        </x:is>
      </x:c>
      <x:c r="F27" s="8" t="inlineStr">
        <x:is>
          <x:t xml:space="preserve">VIN+ / VIN- / VOUT+ / VOUT-</x:t>
        </x:is>
      </x:c>
      <x:c r="G27" s="8" t="inlineStr">
        <x:is>
          <x:t xml:space="preserve">Понижение питания</x:t>
        </x:is>
      </x:c>
      <x:c r="H27" s="8" t="inlineStr">
        <x:is>
          <x:t xml:space="preserve">Высокий</x:t>
        </x:is>
      </x:c>
      <x:c r="I27" s="8" t="inlineStr">
        <x:is>
          <x:t xml:space="preserve">Ядро Rev1</x:t>
        </x:is>
      </x:c>
      <x:c r="J27" s="8" t="inlineStr">
        <x:is>
          <x:t xml:space="preserve">Подтверждено</x:t>
        </x:is>
      </x:c>
      <x:c r="K27" s="9" t="n">
        <x:v>1</x:v>
      </x:c>
      <x:c r="L27" s="8" t="inlineStr">
        <x:is>
          <x:t xml:space="preserve">шт</x:t>
        </x:is>
      </x:c>
      <x:c r="M27" s="13" t="n"/>
      <x:c r="N27" s="8" t="inlineStr">
        <x:is>
          <x:t xml:space="preserve">DC-DC buck</x:t>
        </x:is>
      </x:c>
      <x:c r="O27" s="8" t="inlineStr">
        <x:is>
          <x:t xml:space="preserve">Power</x:t>
        </x:is>
      </x:c>
      <x:c r="P27" s="8" t="inlineStr">
        <x:is>
          <x:t xml:space="preserve">Да</x:t>
        </x:is>
      </x:c>
      <x:c r="Q27" s="10" t="inlineStr">
        <x:is>
          <x:t xml:space="preserve"/>
        </x:is>
      </x:c>
      <x:c r="R27" s="10" t="inlineStr">
        <x:is>
          <x:t xml:space="preserve">Не тестировалось</x:t>
        </x:is>
      </x:c>
      <x:c r="S27" s="10" t="inlineStr">
        <x:is>
          <x:t xml:space="preserve">Настроить и подписать роль каждого buck</x:t>
        </x:is>
      </x:c>
      <x:c r="T27" s="10" t="inlineStr">
        <x:is>
          <x:t xml:space="preserve"/>
        </x:is>
      </x:c>
    </x:row>
    <x:row r="28" ht="36" customHeight="1">
      <x:c r="A28" s="8" t="n">
        <x:v>26</x:v>
      </x:c>
      <x:c r="B28" s="8" t="inlineStr">
        <x:is>
          <x:t xml:space="preserve">Фото 16</x:t>
        </x:is>
      </x:c>
      <x:c r="C28" s="8" t="inlineStr">
        <x:is>
          <x:t xml:space="preserve">Питание</x:t>
        </x:is>
      </x:c>
      <x:c r="D28" s="8" t="inlineStr">
        <x:is>
          <x:t xml:space="preserve">Buck converter</x:t>
        </x:is>
      </x:c>
      <x:c r="E28" s="8" t="inlineStr">
        <x:is>
          <x:t xml:space="preserve">Adjustable buck, LM2596/MP1584-class</x:t>
        </x:is>
      </x:c>
      <x:c r="F28" s="8" t="inlineStr">
        <x:is>
          <x:t xml:space="preserve">IN+ / IN- / OUT+ / OUT-</x:t>
        </x:is>
      </x:c>
      <x:c r="G28" s="8" t="inlineStr">
        <x:is>
          <x:t xml:space="preserve">Понижение питания</x:t>
        </x:is>
      </x:c>
      <x:c r="H28" s="8" t="inlineStr">
        <x:is>
          <x:t xml:space="preserve">Высокий</x:t>
        </x:is>
      </x:c>
      <x:c r="I28" s="8" t="inlineStr">
        <x:is>
          <x:t xml:space="preserve">Ядро Rev1</x:t>
        </x:is>
      </x:c>
      <x:c r="J28" s="8" t="inlineStr">
        <x:is>
          <x:t xml:space="preserve">Подтверждено</x:t>
        </x:is>
      </x:c>
      <x:c r="K28" s="9" t="n">
        <x:v>1</x:v>
      </x:c>
      <x:c r="L28" s="8" t="inlineStr">
        <x:is>
          <x:t xml:space="preserve">шт</x:t>
        </x:is>
      </x:c>
      <x:c r="M28" s="13" t="n"/>
      <x:c r="N28" s="8" t="inlineStr">
        <x:is>
          <x:t xml:space="preserve">DC-DC buck</x:t>
        </x:is>
      </x:c>
      <x:c r="O28" s="8" t="inlineStr">
        <x:is>
          <x:t xml:space="preserve">Power</x:t>
        </x:is>
      </x:c>
      <x:c r="P28" s="8" t="inlineStr">
        <x:is>
          <x:t xml:space="preserve">Да</x:t>
        </x:is>
      </x:c>
      <x:c r="Q28" s="10" t="inlineStr">
        <x:is>
          <x:t xml:space="preserve"/>
        </x:is>
      </x:c>
      <x:c r="R28" s="10" t="inlineStr">
        <x:is>
          <x:t xml:space="preserve">Не тестировалось</x:t>
        </x:is>
      </x:c>
      <x:c r="S28" s="10" t="inlineStr">
        <x:is>
          <x:t xml:space="preserve">Настроить и подписать роль каждого buck</x:t>
        </x:is>
      </x:c>
      <x:c r="T28" s="10" t="inlineStr">
        <x:is>
          <x:t xml:space="preserve"/>
        </x:is>
      </x:c>
    </x:row>
    <x:row r="29" ht="36" customHeight="1">
      <x:c r="A29" s="8" t="n">
        <x:v>27</x:v>
      </x:c>
      <x:c r="B29" s="8" t="inlineStr">
        <x:is>
          <x:t xml:space="preserve">Покупка</x:t>
        </x:is>
      </x:c>
      <x:c r="C29" s="8" t="inlineStr">
        <x:is>
          <x:t xml:space="preserve">Питание / bench</x:t>
        </x:is>
      </x:c>
      <x:c r="D29" s="8" t="inlineStr">
        <x:is>
          <x:t xml:space="preserve">Lab PSU</x:t>
        </x:is>
      </x:c>
      <x:c r="E29" s="8" t="inlineStr">
        <x:is>
          <x:t xml:space="preserve">NICE-POWER dual 30V 10A, 220VAC</x:t>
        </x:is>
      </x:c>
      <x:c r="F29" s="8" t="inlineStr">
        <x:is>
          <x:t xml:space="preserve">2 независимых регулируемых канала</x:t>
        </x:is>
      </x:c>
      <x:c r="G29" s="8" t="inlineStr">
        <x:is>
          <x:t xml:space="preserve">Главный bench-источник для bring-up и безопасного ограничения тока</x:t>
        </x:is>
      </x:c>
      <x:c r="H29" s="8" t="inlineStr">
        <x:is>
          <x:t xml:space="preserve">Очень высокий</x:t>
        </x:is>
      </x:c>
      <x:c r="I29" s="8" t="inlineStr">
        <x:is>
          <x:t xml:space="preserve">Инфраструктура</x:t>
        </x:is>
      </x:c>
      <x:c r="J29" s="8" t="inlineStr">
        <x:is>
          <x:t xml:space="preserve">Подтверждено</x:t>
        </x:is>
      </x:c>
      <x:c r="K29" s="9" t="n">
        <x:v>1</x:v>
      </x:c>
      <x:c r="L29" s="8" t="inlineStr">
        <x:is>
          <x:t xml:space="preserve">шт</x:t>
        </x:is>
      </x:c>
      <x:c r="M29" s="13" t="n">
        <x:v>870.5599999999999</x:v>
      </x:c>
      <x:c r="N29" s="8" t="inlineStr">
        <x:is>
          <x:t xml:space="preserve">0–30V, bench source</x:t>
        </x:is>
      </x:c>
      <x:c r="O29" s="8" t="inlineStr">
        <x:is>
          <x:t xml:space="preserve">Bench</x:t>
        </x:is>
      </x:c>
      <x:c r="P29" s="8" t="inlineStr">
        <x:is>
          <x:t xml:space="preserve">Да</x:t>
        </x:is>
      </x:c>
      <x:c r="Q29" s="10" t="inlineStr">
        <x:is>
          <x:t xml:space="preserve"/>
        </x:is>
      </x:c>
      <x:c r="R29" s="10" t="inlineStr">
        <x:is>
          <x:t xml:space="preserve">ОК</x:t>
        </x:is>
      </x:c>
      <x:c r="S29" s="10" t="inlineStr">
        <x:is>
          <x:t xml:space="preserve">Назначить как основной источник для Laboratory</x:t>
        </x:is>
      </x:c>
      <x:c r="T29" s="10" t="inlineStr">
        <x:is>
          <x:t xml:space="preserve">Новая ключевая покупка</x:t>
        </x:is>
      </x:c>
    </x:row>
    <x:row r="30" ht="36" customHeight="1">
      <x:c r="A30" s="8" t="n">
        <x:v>28</x:v>
      </x:c>
      <x:c r="B30" s="8" t="inlineStr">
        <x:is>
          <x:t xml:space="preserve">Покупка</x:t>
        </x:is>
      </x:c>
      <x:c r="C30" s="8" t="inlineStr">
        <x:is>
          <x:t xml:space="preserve">Питание / автономность</x:t>
        </x:is>
      </x:c>
      <x:c r="D30" s="8" t="inlineStr">
        <x:is>
          <x:t xml:space="preserve">Battery</x:t>
        </x:is>
      </x:c>
      <x:c r="E30" s="8" t="inlineStr">
        <x:is>
          <x:t xml:space="preserve">LiFePO4 12V 100Ah with BMS</x:t>
        </x:is>
      </x:c>
      <x:c r="F30" s="8" t="inlineStr">
        <x:is>
          <x:t xml:space="preserve">силовые клеммы / встроенный BMS</x:t>
        </x:is>
      </x:c>
      <x:c r="G30" s="8" t="inlineStr">
        <x:is>
          <x:t xml:space="preserve">Основная автономная батарея платформы</x:t>
        </x:is>
      </x:c>
      <x:c r="H30" s="8" t="inlineStr">
        <x:is>
          <x:t xml:space="preserve">Очень высокий</x:t>
        </x:is>
      </x:c>
      <x:c r="I30" s="8" t="inlineStr">
        <x:is>
          <x:t xml:space="preserve">Инфраструктура</x:t>
        </x:is>
      </x:c>
      <x:c r="J30" s="8" t="inlineStr">
        <x:is>
          <x:t xml:space="preserve">Подтверждено</x:t>
        </x:is>
      </x:c>
      <x:c r="K30" s="9" t="n">
        <x:v>1</x:v>
      </x:c>
      <x:c r="L30" s="8" t="inlineStr">
        <x:is>
          <x:t xml:space="preserve">шт</x:t>
        </x:is>
      </x:c>
      <x:c r="M30" s="13" t="n">
        <x:v>542.85</x:v>
      </x:c>
      <x:c r="N30" s="8" t="inlineStr">
        <x:is>
          <x:t xml:space="preserve">12V battery system</x:t>
        </x:is>
      </x:c>
      <x:c r="O30" s="8" t="inlineStr">
        <x:is>
          <x:t xml:space="preserve">Power</x:t>
        </x:is>
      </x:c>
      <x:c r="P30" s="8" t="inlineStr">
        <x:is>
          <x:t xml:space="preserve">Да</x:t>
        </x:is>
      </x:c>
      <x:c r="Q30" s="10" t="inlineStr">
        <x:is>
          <x:t xml:space="preserve"/>
        </x:is>
      </x:c>
      <x:c r="R30" s="10" t="inlineStr">
        <x:is>
          <x:t xml:space="preserve">Не тестировалось</x:t>
        </x:is>
      </x:c>
      <x:c r="S30" s="10" t="inlineStr">
        <x:is>
          <x:t xml:space="preserve">Продумать силовой ввод, предохранение и распределение</x:t>
        </x:is>
      </x:c>
      <x:c r="T30" s="10" t="inlineStr">
        <x:is>
          <x:t xml:space="preserve">Новая ключевая покупка</x:t>
        </x:is>
      </x:c>
    </x:row>
    <x:row r="31" ht="36" customHeight="1">
      <x:c r="A31" s="8" t="n">
        <x:v>29</x:v>
      </x:c>
      <x:c r="B31" s="8" t="inlineStr">
        <x:is>
          <x:t xml:space="preserve">Покупка</x:t>
        </x:is>
      </x:c>
      <x:c r="C31" s="8" t="inlineStr">
        <x:is>
          <x:t xml:space="preserve">Энергетика</x:t>
        </x:is>
      </x:c>
      <x:c r="D31" s="8" t="inlineStr">
        <x:is>
          <x:t xml:space="preserve">Solar charge controller</x:t>
        </x:is>
      </x:c>
      <x:c r="E31" s="8" t="inlineStr">
        <x:is>
          <x:t xml:space="preserve">PowMr MPPT 60A, PV up to 160VDC, 12/24/36/48V</x:t>
        </x:is>
      </x:c>
      <x:c r="F31" s="8" t="inlineStr">
        <x:is>
          <x:t xml:space="preserve">PV / battery / load ports</x:t>
        </x:is>
      </x:c>
      <x:c r="G31" s="8" t="inlineStr">
        <x:is>
          <x:t xml:space="preserve">Энергетическая платформа, заряд и силовая инфраструктура</x:t>
        </x:is>
      </x:c>
      <x:c r="H31" s="8" t="inlineStr">
        <x:is>
          <x:t xml:space="preserve">Средний</x:t>
        </x:is>
      </x:c>
      <x:c r="I31" s="8" t="inlineStr">
        <x:is>
          <x:t xml:space="preserve">Инфраструктура</x:t>
        </x:is>
      </x:c>
      <x:c r="J31" s="8" t="inlineStr">
        <x:is>
          <x:t xml:space="preserve">Подтверждено</x:t>
        </x:is>
      </x:c>
      <x:c r="K31" s="9" t="n">
        <x:v>1</x:v>
      </x:c>
      <x:c r="L31" s="8" t="inlineStr">
        <x:is>
          <x:t xml:space="preserve">шт</x:t>
        </x:is>
      </x:c>
      <x:c r="M31" s="13" t="n"/>
      <x:c r="N31" s="8" t="inlineStr">
        <x:is>
          <x:t xml:space="preserve">PV + battery infrastructure</x:t>
        </x:is>
      </x:c>
      <x:c r="O31" s="8" t="inlineStr">
        <x:is>
          <x:t xml:space="preserve">Power</x:t>
        </x:is>
      </x:c>
      <x:c r="P31" s="8" t="inlineStr">
        <x:is>
          <x:t xml:space="preserve">Позже</x:t>
        </x:is>
      </x:c>
      <x:c r="Q31" s="10" t="inlineStr">
        <x:is>
          <x:t xml:space="preserve"/>
        </x:is>
      </x:c>
      <x:c r="R31" s="10" t="inlineStr">
        <x:is>
          <x:t xml:space="preserve">Не тестировалось</x:t>
        </x:is>
      </x:c>
      <x:c r="S31" s="10" t="inlineStr">
        <x:is>
          <x:t xml:space="preserve">Для общей энергосистемы, не обязателен для первой bench-сборки</x:t>
        </x:is>
      </x:c>
      <x:c r="T31" s="10" t="inlineStr">
        <x:is>
          <x:t xml:space="preserve"/>
        </x:is>
      </x:c>
    </x:row>
    <x:row r="32" ht="36" customHeight="1">
      <x:c r="A32" s="8" t="n">
        <x:v>30</x:v>
      </x:c>
      <x:c r="B32" s="8" t="inlineStr">
        <x:is>
          <x:t xml:space="preserve">Покупка</x:t>
        </x:is>
      </x:c>
      <x:c r="C32" s="8" t="inlineStr">
        <x:is>
          <x:t xml:space="preserve">Дискретка</x:t>
        </x:is>
      </x:c>
      <x:c r="D32" s="8" t="inlineStr">
        <x:is>
          <x:t xml:space="preserve">Zener kit</x:t>
        </x:is>
      </x:c>
      <x:c r="E32" s="8" t="inlineStr">
        <x:is>
          <x:t xml:space="preserve">DO-41 1W Zener diode kit, 3V–30V, 150 pcs</x:t>
        </x:is>
      </x:c>
      <x:c r="F32" s="8" t="inlineStr">
        <x:is>
          <x:t xml:space="preserve">разные зенер-диоды</x:t>
        </x:is>
      </x:c>
      <x:c r="G32" s="8" t="inlineStr">
        <x:is>
          <x:t xml:space="preserve">Лабораторные эксперименты, ограничение, reference circuits</x:t>
        </x:is>
      </x:c>
      <x:c r="H32" s="8" t="inlineStr">
        <x:is>
          <x:t xml:space="preserve">Средний</x:t>
        </x:is>
      </x:c>
      <x:c r="I32" s="8" t="inlineStr">
        <x:is>
          <x:t xml:space="preserve">Инфраструктура</x:t>
        </x:is>
      </x:c>
      <x:c r="J32" s="8" t="inlineStr">
        <x:is>
          <x:t xml:space="preserve">Подтверждено</x:t>
        </x:is>
      </x:c>
      <x:c r="K32" s="9" t="n">
        <x:v>150</x:v>
      </x:c>
      <x:c r="L32" s="8" t="inlineStr">
        <x:is>
          <x:t xml:space="preserve">pcs</x:t>
        </x:is>
      </x:c>
      <x:c r="M32" s="13" t="n"/>
      <x:c r="N32" s="8" t="inlineStr">
        <x:is>
          <x:t xml:space="preserve">1W zener assortment</x:t>
        </x:is>
      </x:c>
      <x:c r="O32" s="8" t="inlineStr">
        <x:is>
          <x:t xml:space="preserve">Stock</x:t>
        </x:is>
      </x:c>
      <x:c r="P32" s="8" t="inlineStr">
        <x:is>
          <x:t xml:space="preserve">Да</x:t>
        </x:is>
      </x:c>
      <x:c r="Q32" s="10" t="inlineStr">
        <x:is>
          <x:t xml:space="preserve"/>
        </x:is>
      </x:c>
      <x:c r="R32" s="10" t="inlineStr">
        <x:is>
          <x:t xml:space="preserve">Не тестировалось</x:t>
        </x:is>
      </x:c>
      <x:c r="S32" s="10" t="inlineStr">
        <x:is>
          <x:t xml:space="preserve">Не считать заменой силовым flyback-диодам</x:t>
        </x:is>
      </x:c>
      <x:c r="T32" s="10" t="inlineStr">
        <x:is>
          <x:t xml:space="preserve"/>
        </x:is>
      </x:c>
    </x:row>
    <x:row r="33" ht="36" customHeight="1">
      <x:c r="A33" s="8" t="n">
        <x:v>31</x:v>
      </x:c>
      <x:c r="B33" s="8" t="inlineStr">
        <x:is>
          <x:t xml:space="preserve">Покупка</x:t>
        </x:is>
      </x:c>
      <x:c r="C33" s="8" t="inlineStr">
        <x:is>
          <x:t xml:space="preserve">Дискретка</x:t>
        </x:is>
      </x:c>
      <x:c r="D33" s="8" t="inlineStr">
        <x:is>
          <x:t xml:space="preserve">Resistor kit</x:t>
        </x:is>
      </x:c>
      <x:c r="E33" s="8" t="inlineStr">
        <x:is>
          <x:t xml:space="preserve">1100 pcs, 1/2W, 1%, 0.1Ω–2.2MΩ</x:t>
        </x:is>
      </x:c>
      <x:c r="F33" s="8" t="inlineStr">
        <x:is>
          <x:t xml:space="preserve">ассорти резисторов</x:t>
        </x:is>
      </x:c>
      <x:c r="G33" s="8" t="inlineStr">
        <x:is>
          <x:t xml:space="preserve">Подтяжки, делители, gate resistors, тестовые цепи</x:t>
        </x:is>
      </x:c>
      <x:c r="H33" s="8" t="inlineStr">
        <x:is>
          <x:t xml:space="preserve">Очень высокий</x:t>
        </x:is>
      </x:c>
      <x:c r="I33" s="8" t="inlineStr">
        <x:is>
          <x:t xml:space="preserve">Инфраструктура</x:t>
        </x:is>
      </x:c>
      <x:c r="J33" s="8" t="inlineStr">
        <x:is>
          <x:t xml:space="preserve">Подтверждено</x:t>
        </x:is>
      </x:c>
      <x:c r="K33" s="9" t="n">
        <x:v>1100</x:v>
      </x:c>
      <x:c r="L33" s="8" t="inlineStr">
        <x:is>
          <x:t xml:space="preserve">pcs</x:t>
        </x:is>
      </x:c>
      <x:c r="M33" s="10" t="n"/>
      <x:c r="N33" s="8" t="inlineStr">
        <x:is>
          <x:t xml:space="preserve">0.5W resistor assortment</x:t>
        </x:is>
      </x:c>
      <x:c r="O33" s="8" t="inlineStr">
        <x:is>
          <x:t xml:space="preserve">Stock</x:t>
        </x:is>
      </x:c>
      <x:c r="P33" s="8" t="inlineStr">
        <x:is>
          <x:t xml:space="preserve">Да</x:t>
        </x:is>
      </x:c>
      <x:c r="Q33" s="10" t="inlineStr">
        <x:is>
          <x:t xml:space="preserve"/>
        </x:is>
      </x:c>
      <x:c r="R33" s="10" t="inlineStr">
        <x:is>
          <x:t xml:space="preserve">ОК</x:t>
        </x:is>
      </x:c>
      <x:c r="S33" s="10" t="inlineStr">
        <x:is>
          <x:t xml:space="preserve">Базовый складской расходник</x:t>
        </x:is>
      </x:c>
      <x:c r="T33" s="10" t="inlineStr">
        <x:is>
          <x:t xml:space="preserve"/>
        </x:is>
      </x:c>
    </x:row>
  </x:sheetData>
  <x:mergeCells>
    <x:mergeCell ref="A1:T1"/>
  </x:mergeCells>
  <x:conditionalFormatting sqref="A3:T33">
    <x:cfRule type="expression" dxfId="0" priority="1">
      <x:formula>$J3="Нужно уточнить"</x:formula>
    </x:cfRule>
    <x:cfRule type="expression" dxfId="1" priority="2">
      <x:formula>$J3="Под вопросом"</x:formula>
    </x:cfRule>
    <x:cfRule type="expression" dxfId="2" priority="3">
      <x:formula>$J3="Отложено"</x:formula>
    </x:cfRule>
    <x:cfRule type="expression" dxfId="3" priority="4">
      <x:formula>$J3="Подтверждено"</x:formula>
    </x:cfRule>
  </x:conditionalFormatting>
  <x:dataValidations count="5">
    <x:dataValidation type="list" allowBlank="1" showDropDown="0" showInputMessage="0" showErrorMessage="0" sqref="H3:H33">
      <x:formula1>=Lists!$A$2:$A$5</x:formula1>
    </x:dataValidation>
    <x:dataValidation type="list" allowBlank="1" showDropDown="0" showInputMessage="0" showErrorMessage="0" sqref="I3:I33">
      <x:formula1>=Lists!$B$2:$B$5</x:formula1>
    </x:dataValidation>
    <x:dataValidation type="list" allowBlank="1" showDropDown="0" showInputMessage="0" showErrorMessage="0" sqref="J3:J33">
      <x:formula1>=Lists!$C$2:$C$5</x:formula1>
    </x:dataValidation>
    <x:dataValidation type="list" allowBlank="1" showDropDown="0" showInputMessage="0" showErrorMessage="0" sqref="P3:P33">
      <x:formula1>=Lists!$D$2:$D$5</x:formula1>
    </x:dataValidation>
    <x:dataValidation type="list" allowBlank="1" showDropDown="0" showInputMessage="0" showErrorMessage="0" sqref="R3:R33">
      <x:formula1>=Lists!$E$2:$E$5</x:formula1>
    </x:dataValidation>
  </x:dataValidations>
  <x:pageMargins left="0.7" right="0.7" top="0.75" bottom="0.75" header="0.3" footer="0.3"/>
  <x:legacyDrawing xmlns:r="http://schemas.openxmlformats.org/officeDocument/2006/relationships" r:id="Re06fd57a13684c94"/>
  <x:tableParts count="1">
    <x:tablePart xmlns:r="http://schemas.openxmlformats.org/officeDocument/2006/relationships" r:id="R9e2f4c8cab49459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2" customWidth="1"/>
    <x:col min="3" max="3" width="20" customWidth="1"/>
    <x:col min="4" max="4" width="18" customWidth="1"/>
    <x:col min="5" max="5" width="35" customWidth="1"/>
    <x:col min="6" max="6" width="40" customWidth="1"/>
  </x:cols>
  <x:sheetData>
    <x:row r="1">
      <x:c r="A1" s="1" t="inlineStr">
        <x:is>
          <x:t xml:space="preserve">Питание и силовые рельсы</x:t>
        </x:is>
      </x:c>
    </x:row>
    <x:row r="2">
      <x:c r="A2" s="4" t="inlineStr">
        <x:is>
          <x:t xml:space="preserve">Рельс</x:t>
        </x:is>
      </x:c>
      <x:c r="B2" s="4" t="inlineStr">
        <x:is>
          <x:t xml:space="preserve">Номинал</x:t>
        </x:is>
      </x:c>
      <x:c r="C2" s="4" t="inlineStr">
        <x:is>
          <x:t xml:space="preserve">Источник</x:t>
        </x:is>
      </x:c>
      <x:c r="D2" s="4" t="inlineStr">
        <x:is>
          <x:t xml:space="preserve">Тип нагрузки</x:t>
        </x:is>
      </x:c>
      <x:c r="E2" s="4" t="inlineStr">
        <x:is>
          <x:t xml:space="preserve">Потребители</x:t>
        </x:is>
      </x:c>
      <x:c r="F2" s="4" t="inlineStr">
        <x:is>
          <x:t xml:space="preserve">Примечание</x:t>
        </x:is>
      </x:c>
    </x:row>
    <x:row r="3" ht="34" customHeight="1">
      <x:c r="A3" s="3" t="inlineStr">
        <x:is>
          <x:t xml:space="preserve">Bench variable</x:t>
        </x:is>
      </x:c>
      <x:c r="B3" s="3" t="inlineStr">
        <x:is>
          <x:t xml:space="preserve">0–30V</x:t>
        </x:is>
      </x:c>
      <x:c r="C3" s="3" t="inlineStr">
        <x:is>
          <x:t xml:space="preserve">NICE-POWER dual PSU</x:t>
        </x:is>
      </x:c>
      <x:c r="D3" s="3" t="inlineStr">
        <x:is>
          <x:t xml:space="preserve">Laboratory / bring-up</x:t>
        </x:is>
      </x:c>
      <x:c r="E3" s="3" t="inlineStr">
        <x:is>
          <x:t xml:space="preserve">Неизвестные модули, насосы, строб, аудио на стадии теста</x:t>
        </x:is>
      </x:c>
      <x:c r="F3" s="3" t="inlineStr">
        <x:is>
          <x:t xml:space="preserve">Главный безопасный источник с ограничением тока</x:t>
        </x:is>
      </x:c>
    </x:row>
    <x:row r="4" ht="34" customHeight="1">
      <x:c r="A4" s="3" t="inlineStr">
        <x:is>
          <x:t xml:space="preserve">Battery main</x:t>
        </x:is>
      </x:c>
      <x:c r="B4" s="3" t="inlineStr">
        <x:is>
          <x:t xml:space="preserve">12V nominal</x:t>
        </x:is>
      </x:c>
      <x:c r="C4" s="3" t="inlineStr">
        <x:is>
          <x:t xml:space="preserve">LiFePO4 12V 100Ah</x:t>
        </x:is>
      </x:c>
      <x:c r="D4" s="3" t="inlineStr">
        <x:is>
          <x:t xml:space="preserve">Автономная силовая шина</x:t>
        </x:is>
      </x:c>
      <x:c r="E4" s="3" t="inlineStr">
        <x:is>
          <x:t xml:space="preserve">Насосы, buck-конвертеры, поздние силовые каскады</x:t>
        </x:is>
      </x:c>
      <x:c r="F4" s="3" t="inlineStr">
        <x:is>
          <x:t xml:space="preserve">Продумать fuse и силовое распределение</x:t>
        </x:is>
      </x:c>
    </x:row>
    <x:row r="5" ht="34" customHeight="1">
      <x:c r="A5" s="3" t="inlineStr">
        <x:is>
          <x:t xml:space="preserve">5V Pi rail</x:t>
        </x:is>
      </x:c>
      <x:c r="B5" s="3" t="inlineStr">
        <x:is>
          <x:t xml:space="preserve">5.1V</x:t>
        </x:is>
      </x:c>
      <x:c r="C5" s="3" t="inlineStr">
        <x:is>
          <x:t xml:space="preserve">Отдельный buck / bench</x:t>
        </x:is>
      </x:c>
      <x:c r="D5" s="3" t="inlineStr">
        <x:is>
          <x:t xml:space="preserve">Чистая логика</x:t>
        </x:is>
      </x:c>
      <x:c r="E5" s="3" t="inlineStr">
        <x:is>
          <x:t xml:space="preserve">Raspberry Pi 5, CSI camera, возможно TFmini Plus</x:t>
        </x:is>
      </x:c>
      <x:c r="F5" s="3" t="inlineStr">
        <x:is>
          <x:t xml:space="preserve">Не смешивать с серво-рельсом</x:t>
        </x:is>
      </x:c>
    </x:row>
    <x:row r="6" ht="34" customHeight="1">
      <x:c r="A6" s="3" t="inlineStr">
        <x:is>
          <x:t xml:space="preserve">ESP32 logic rail</x:t>
        </x:is>
      </x:c>
      <x:c r="B6" s="3" t="inlineStr">
        <x:is>
          <x:t xml:space="preserve">5V in / 3.3V logic</x:t>
        </x:is>
      </x:c>
      <x:c r="C6" s="3" t="inlineStr">
        <x:is>
          <x:t xml:space="preserve">Отдельный buck / USB-C</x:t>
        </x:is>
      </x:c>
      <x:c r="D6" s="3" t="inlineStr">
        <x:is>
          <x:t xml:space="preserve">Логика ESP32</x:t>
        </x:is>
      </x:c>
      <x:c r="E6" s="3" t="inlineStr">
        <x:is>
          <x:t xml:space="preserve">ESP32, BH1750, DHT22, soil sensor</x:t>
        </x:is>
      </x:c>
      <x:c r="F6" s="3" t="inlineStr">
        <x:is>
          <x:t xml:space="preserve">Следить за уровнем аналогового выхода датчиков</x:t>
        </x:is>
      </x:c>
    </x:row>
    <x:row r="7" ht="34" customHeight="1">
      <x:c r="A7" s="3" t="inlineStr">
        <x:is>
          <x:t xml:space="preserve">Servo rail</x:t>
        </x:is>
      </x:c>
      <x:c r="B7" s="3" t="inlineStr">
        <x:is>
          <x:t xml:space="preserve">5–6V</x:t>
        </x:is>
      </x:c>
      <x:c r="C7" s="3" t="inlineStr">
        <x:is>
          <x:t xml:space="preserve">Отдельный buck / bench</x:t>
        </x:is>
      </x:c>
      <x:c r="D7" s="3" t="inlineStr">
        <x:is>
          <x:t xml:space="preserve">Серво-питание</x:t>
        </x:is>
      </x:c>
      <x:c r="E7" s="3" t="inlineStr">
        <x:is>
          <x:t xml:space="preserve">MG996R</x:t>
        </x:is>
      </x:c>
      <x:c r="F7" s="3" t="inlineStr">
        <x:is>
          <x:t xml:space="preserve">Не питать сервы от Raspberry Pi</x:t>
        </x:is>
      </x:c>
    </x:row>
    <x:row r="8" ht="34" customHeight="1">
      <x:c r="A8" s="3" t="inlineStr">
        <x:is>
          <x:t xml:space="preserve">12V motor rail</x:t>
        </x:is>
      </x:c>
      <x:c r="B8" s="3" t="inlineStr">
        <x:is>
          <x:t xml:space="preserve">12V</x:t>
        </x:is>
      </x:c>
      <x:c r="C8" s="3" t="inlineStr">
        <x:is>
          <x:t xml:space="preserve">Battery / bench</x:t>
        </x:is>
      </x:c>
      <x:c r="D8" s="3" t="inlineStr">
        <x:is>
          <x:t xml:space="preserve">Силовые нагрузки</x:t>
        </x:is>
      </x:c>
      <x:c r="E8" s="3" t="inlineStr">
        <x:is>
          <x:t xml:space="preserve">SEAFLO pump, peristaltic pump через MOSFET</x:t>
        </x:is>
      </x:c>
      <x:c r="F8" s="3" t="inlineStr">
        <x:is>
          <x:t xml:space="preserve">Нужны flyback-диоды и ограничение тока при первых тестах</x:t>
        </x:is>
      </x:c>
    </x:row>
    <x:row r="9" ht="34" customHeight="1">
      <x:c r="A9" s="3" t="inlineStr">
        <x:is>
          <x:t xml:space="preserve">LED current rail</x:t>
        </x:is>
      </x:c>
      <x:c r="B9" s="3" t="inlineStr">
        <x:is>
          <x:t xml:space="preserve">По драйверу</x:t>
        </x:is>
      </x:c>
      <x:c r="C9" s="3" t="inlineStr">
        <x:is>
          <x:t xml:space="preserve">LED driver 50W</x:t>
        </x:is>
      </x:c>
      <x:c r="D9" s="3" t="inlineStr">
        <x:is>
          <x:t xml:space="preserve">Постоянный ток для LED</x:t>
        </x:is>
      </x:c>
      <x:c r="E9" s="3" t="inlineStr">
        <x:is>
          <x:t xml:space="preserve">High-power strobe LED</x:t>
        </x:is>
      </x:c>
      <x:c r="F9" s="3" t="inlineStr">
        <x:is>
          <x:t xml:space="preserve">Только после подтверждения совпадения LED и драйвера</x:t>
        </x:is>
      </x:c>
    </x:row>
    <x:row r="10" ht="34" customHeight="1">
      <x:c r="A10" s="3" t="inlineStr">
        <x:is>
          <x:t xml:space="preserve">Audio power rail</x:t>
        </x:is>
      </x:c>
      <x:c r="B10" s="3" t="inlineStr">
        <x:is>
          <x:t xml:space="preserve">12V/24V</x:t>
        </x:is>
      </x:c>
      <x:c r="C10" s="3" t="inlineStr">
        <x:is>
          <x:t xml:space="preserve">Bench / battery later</x:t>
        </x:is>
      </x:c>
      <x:c r="D10" s="3" t="inlineStr">
        <x:is>
          <x:t xml:space="preserve">Мощный аудиоканал</x:t>
        </x:is>
      </x:c>
      <x:c r="E10" s="3" t="inlineStr">
        <x:is>
          <x:t xml:space="preserve">TPA3116D2 XH-M543 + horn</x:t>
        </x:is>
      </x:c>
      <x:c r="F10" s="3" t="inlineStr">
        <x:is>
          <x:t xml:space="preserve">Поздний каскад, не для первого bring-up</x:t>
        </x:is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cc228f5421a844e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4" customWidth="1"/>
    <x:col min="3" max="3" width="30" customWidth="1"/>
    <x:col min="4" max="4" width="34" customWidth="1"/>
    <x:col min="5" max="5" width="22" customWidth="1"/>
  </x:cols>
  <x:sheetData>
    <x:row r="1">
      <x:c r="A1" s="1" t="inlineStr">
        <x:is>
          <x:t xml:space="preserve">Laboratory — универсальный workflow для неизвестного модуля</x:t>
        </x:is>
      </x:c>
    </x:row>
    <x:row r="2">
      <x:c r="A2" s="4" t="inlineStr">
        <x:is>
          <x:t xml:space="preserve">Шаг</x:t>
        </x:is>
      </x:c>
      <x:c r="B2" s="4" t="inlineStr">
        <x:is>
          <x:t xml:space="preserve">Цель</x:t>
        </x:is>
      </x:c>
      <x:c r="C2" s="4" t="inlineStr">
        <x:is>
          <x:t xml:space="preserve">Что записать в Inventory</x:t>
        </x:is>
      </x:c>
      <x:c r="D2" s="4" t="inlineStr">
        <x:is>
          <x:t xml:space="preserve">Правило безопасности</x:t>
        </x:is>
      </x:c>
      <x:c r="E2" s="4" t="inlineStr">
        <x:is>
          <x:t xml:space="preserve">Результат</x:t>
        </x:is>
      </x:c>
    </x:row>
    <x:row r="3">
      <x:c r="A3" s="3" t="n">
        <x:v>1</x:v>
      </x:c>
      <x:c r="B3" s="3" t="inlineStr">
        <x:is>
          <x:t xml:space="preserve">Сделать фото и снять маркировку</x:t>
        </x:is>
      </x:c>
      <x:c r="C3" s="3" t="inlineStr">
        <x:is>
          <x:t xml:space="preserve">Источник, модель, группа</x:t>
        </x:is>
      </x:c>
      <x:c r="D3" s="3" t="inlineStr">
        <x:is>
          <x:t xml:space="preserve">Ничего не подключать до идентификации</x:t>
        </x:is>
      </x:c>
      <x:c r="E3" s="3" t="inlineStr">
        <x:is>
          <x:t xml:space="preserve">Есть карточка модуля в Inventory</x:t>
        </x:is>
      </x:c>
    </x:row>
    <x:row r="4">
      <x:c r="A4" s="3" t="n">
        <x:v>2</x:v>
      </x:c>
      <x:c r="B4" s="3" t="inlineStr">
        <x:is>
          <x:t xml:space="preserve">Оценить тип модуля</x:t>
        </x:is>
      </x:c>
      <x:c r="C4" s="3" t="inlineStr">
        <x:is>
          <x:t xml:space="preserve">Интерфейс / pinout / предположение по напряжению</x:t>
        </x:is>
      </x:c>
      <x:c r="D4" s="3" t="inlineStr">
        <x:is>
          <x:t xml:space="preserve">Если питание неизвестно — только через лабораторник и с ограничением тока</x:t>
        </x:is>
      </x:c>
      <x:c r="E4" s="3" t="inlineStr">
        <x:is>
          <x:t xml:space="preserve">Есть безопасная гипотеза по питанию</x:t>
        </x:is>
      </x:c>
    </x:row>
    <x:row r="5">
      <x:c r="A5" s="3" t="n">
        <x:v>3</x:v>
      </x:c>
      <x:c r="B5" s="3" t="inlineStr">
        <x:is>
          <x:t xml:space="preserve">Проверить распиновку</x:t>
        </x:is>
      </x:c>
      <x:c r="C5" s="3" t="inlineStr">
        <x:is>
          <x:t xml:space="preserve">Pinout, цвет проводов, разъёмы</x:t>
        </x:is>
      </x:c>
      <x:c r="D5" s="3" t="inlineStr">
        <x:is>
          <x:t xml:space="preserve">Не подавать 5V сигнал в 3.3V GPIO</x:t>
        </x:is>
      </x:c>
      <x:c r="E5" s="3" t="inlineStr">
        <x:is>
          <x:t xml:space="preserve">Понята логика подключения</x:t>
        </x:is>
      </x:c>
    </x:row>
    <x:row r="6">
      <x:c r="A6" s="3" t="n">
        <x:v>4</x:v>
      </x:c>
      <x:c r="B6" s="3" t="inlineStr">
        <x:is>
          <x:t xml:space="preserve">Пробный запуск</x:t>
        </x:is>
      </x:c>
      <x:c r="C6" s="3" t="inlineStr">
        <x:is>
          <x:t xml:space="preserve">Тест, ток, напряжение, реакция</x:t>
        </x:is>
      </x:c>
      <x:c r="D6" s="3" t="inlineStr">
        <x:is>
          <x:t xml:space="preserve">Начинать с малого напряжения и ограниченного тока</x:t>
        </x:is>
      </x:c>
      <x:c r="E6" s="3" t="inlineStr">
        <x:is>
          <x:t xml:space="preserve">Есть первичное поведение</x:t>
        </x:is>
      </x:c>
    </x:row>
    <x:row r="7">
      <x:c r="A7" s="3" t="n">
        <x:v>5</x:v>
      </x:c>
      <x:c r="B7" s="3" t="inlineStr">
        <x:is>
          <x:t xml:space="preserve">Считать сигнал / реакцию</x:t>
        </x:is>
      </x:c>
      <x:c r="C7" s="3" t="inlineStr">
        <x:is>
          <x:t xml:space="preserve">Тестовый интерфейс и результаты</x:t>
        </x:is>
      </x:c>
      <x:c r="D7" s="3" t="inlineStr">
        <x:is>
          <x:t xml:space="preserve">UART/I2C/ADC только после общей земли и проверки уровней</x:t>
        </x:is>
      </x:c>
      <x:c r="E7" s="3" t="inlineStr">
        <x:is>
          <x:t xml:space="preserve">Понято, как читать модуль</x:t>
        </x:is>
      </x:c>
    </x:row>
    <x:row r="8">
      <x:c r="A8" s="3" t="n">
        <x:v>6</x:v>
      </x:c>
      <x:c r="B8" s="3" t="inlineStr">
        <x:is>
          <x:t xml:space="preserve">Классифицировать модуль</x:t>
        </x:is>
      </x:c>
      <x:c r="C8" s="3" t="inlineStr">
        <x:is>
          <x:t xml:space="preserve">Фаза, статус, Rev1</x:t>
        </x:is>
      </x:c>
      <x:c r="D8" s="3" t="inlineStr">
        <x:is>
          <x:t xml:space="preserve">Не переводить в ядро Rev1 без базового теста</x:t>
        </x:is>
      </x:c>
      <x:c r="E8" s="3" t="inlineStr">
        <x:is>
          <x:t xml:space="preserve">Модуль отнесен к нужной фазе</x:t>
        </x:is>
      </x:c>
    </x:row>
    <x:row r="9">
      <x:c r="A9" s="3" t="n">
        <x:v>7</x:v>
      </x:c>
      <x:c r="B9" s="3" t="inlineStr">
        <x:is>
          <x:t xml:space="preserve">Зафиксировать action</x:t>
        </x:is>
      </x:c>
      <x:c r="C9" s="3" t="inlineStr">
        <x:is>
          <x:t xml:space="preserve">Рекомендуемое действие, заметки</x:t>
        </x:is>
      </x:c>
      <x:c r="D9" s="3" t="inlineStr">
        <x:is>
          <x:t xml:space="preserve">Если модуль спорный — держать в Laboratory / исследование</x:t>
        </x:is>
      </x:c>
      <x:c r="E9" s="3" t="inlineStr">
        <x:is>
          <x:t xml:space="preserve">Есть следующее инженерное действие</x:t>
        </x:is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fb0c0490da6740a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34" customWidth="1"/>
    <x:col min="3" max="3" width="22" customWidth="1"/>
    <x:col min="4" max="4" width="14" customWidth="1"/>
    <x:col min="5" max="5" width="22" customWidth="1"/>
  </x:cols>
  <x:sheetData>
    <x:row r="1">
      <x:c r="A1" s="1" t="inlineStr">
        <x:is>
          <x:t xml:space="preserve">Не подтверждено в наличии / рекомендуется докупить</x:t>
        </x:is>
      </x:c>
    </x:row>
    <x:row r="2">
      <x:c r="A2" s="4" t="inlineStr">
        <x:is>
          <x:t xml:space="preserve">Компонент</x:t>
        </x:is>
      </x:c>
      <x:c r="B2" s="4" t="inlineStr">
        <x:is>
          <x:t xml:space="preserve">Почему нужен</x:t>
        </x:is>
      </x:c>
      <x:c r="C2" s="4" t="inlineStr">
        <x:is>
          <x:t xml:space="preserve">Для какого каскада</x:t>
        </x:is>
      </x:c>
      <x:c r="D2" s="4" t="inlineStr">
        <x:is>
          <x:t xml:space="preserve">Приоритет</x:t>
        </x:is>
      </x:c>
      <x:c r="E2" s="4" t="inlineStr">
        <x:is>
          <x:t xml:space="preserve">Статус</x:t>
        </x:is>
      </x:c>
    </x:row>
    <x:row r="3">
      <x:c r="A3" s="3" t="inlineStr">
        <x:is>
          <x:t xml:space="preserve">PCA9685 16ch PWM driver</x:t>
        </x:is>
      </x:c>
      <x:c r="B3" s="3" t="inlineStr">
        <x:is>
          <x:t xml:space="preserve">Желателен для управления MG996R без прямой нагрузки на Pi</x:t>
        </x:is>
      </x:c>
      <x:c r="C3" s="3" t="inlineStr">
        <x:is>
          <x:t xml:space="preserve">Servo / turret</x:t>
        </x:is>
      </x:c>
      <x:c r="D3" s="3" t="inlineStr">
        <x:is>
          <x:t xml:space="preserve">Высокий</x:t>
        </x:is>
      </x:c>
      <x:c r="E3" s="3" t="inlineStr">
        <x:is>
          <x:t xml:space="preserve">Не подтверждено</x:t>
        </x:is>
      </x:c>
    </x:row>
    <x:row r="4">
      <x:c r="A4" s="3" t="inlineStr">
        <x:is>
          <x:t xml:space="preserve">Stepper driver (A4988 / DRV8825 / аналог)</x:t>
        </x:is>
      </x:c>
      <x:c r="B4" s="3" t="inlineStr">
        <x:is>
          <x:t xml:space="preserve">Нужен для любого шагового двигателя</x:t>
        </x:is>
      </x:c>
      <x:c r="C4" s="3" t="inlineStr">
        <x:is>
          <x:t xml:space="preserve">Laboratory / приводы</x:t>
        </x:is>
      </x:c>
      <x:c r="D4" s="3" t="inlineStr">
        <x:is>
          <x:t xml:space="preserve">Высокий</x:t>
        </x:is>
      </x:c>
      <x:c r="E4" s="3" t="inlineStr">
        <x:is>
          <x:t xml:space="preserve">Не подтверждено</x:t>
        </x:is>
      </x:c>
    </x:row>
    <x:row r="5">
      <x:c r="A5" s="3" t="inlineStr">
        <x:is>
          <x:t xml:space="preserve">Силовые flyback-диоды под реальные токи</x:t>
        </x:is>
      </x:c>
      <x:c r="B5" s="3" t="inlineStr">
        <x:is>
          <x:t xml:space="preserve">Зенер-набор не закрывает силовую защиту насосов/клапанов</x:t>
        </x:is>
      </x:c>
      <x:c r="C5" s="3" t="inlineStr">
        <x:is>
          <x:t xml:space="preserve">Power / hydraulics</x:t>
        </x:is>
      </x:c>
      <x:c r="D5" s="3" t="inlineStr">
        <x:is>
          <x:t xml:space="preserve">Очень высокий</x:t>
        </x:is>
      </x:c>
      <x:c r="E5" s="3" t="inlineStr">
        <x:is>
          <x:t xml:space="preserve">Нужно докупить / подтвердить</x:t>
        </x:is>
      </x:c>
    </x:row>
    <x:row r="6">
      <x:c r="A6" s="3" t="inlineStr">
        <x:is>
          <x:t xml:space="preserve">Fuse / holder / power protection</x:t>
        </x:is>
      </x:c>
      <x:c r="B6" s="3" t="inlineStr">
        <x:is>
          <x:t xml:space="preserve">Для батареи и силовых рельсов</x:t>
        </x:is>
      </x:c>
      <x:c r="C6" s="3" t="inlineStr">
        <x:is>
          <x:t xml:space="preserve">Power distribution</x:t>
        </x:is>
      </x:c>
      <x:c r="D6" s="3" t="inlineStr">
        <x:is>
          <x:t xml:space="preserve">Очень высокий</x:t>
        </x:is>
      </x:c>
      <x:c r="E6" s="3" t="inlineStr">
        <x:is>
          <x:t xml:space="preserve">Нужно докупить / подтвердить</x:t>
        </x:is>
      </x:c>
    </x:row>
    <x:row r="7">
      <x:c r="A7" s="3" t="inlineStr">
        <x:is>
          <x:t xml:space="preserve">JST / terminal / wire adapters</x:t>
        </x:is>
      </x:c>
      <x:c r="B7" s="3" t="inlineStr">
        <x:is>
          <x:t xml:space="preserve">Для чистой сборки и повторяемой трассировки</x:t>
        </x:is>
      </x:c>
      <x:c r="C7" s="3" t="inlineStr">
        <x:is>
          <x:t xml:space="preserve">Assembly / workshop</x:t>
        </x:is>
      </x:c>
      <x:c r="D7" s="3" t="inlineStr">
        <x:is>
          <x:t xml:space="preserve">Средний</x:t>
        </x:is>
      </x:c>
      <x:c r="E7" s="3" t="inlineStr">
        <x:is>
          <x:t xml:space="preserve">Нужно докупить / подтвердить</x:t>
        </x:is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72827e1784c54be9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2" customWidth="1"/>
    <x:col min="3" max="3" width="22" customWidth="1"/>
    <x:col min="4" max="4" width="22" customWidth="1"/>
    <x:col min="5" max="5" width="22" customWidth="1"/>
    <x:col min="6" max="6" width="22" customWidth="1"/>
  </x:cols>
  <x:sheetData>
    <x:row r="1">
      <x:c r="A1" t="inlineStr">
        <x:is>
          <x:t xml:space="preserve">Priority</x:t>
        </x:is>
      </x:c>
      <x:c r="B1" t="inlineStr">
        <x:is>
          <x:t xml:space="preserve">Phase</x:t>
        </x:is>
      </x:c>
      <x:c r="C1" t="inlineStr">
        <x:is>
          <x:t xml:space="preserve">Status</x:t>
        </x:is>
      </x:c>
      <x:c r="D1" t="inlineStr">
        <x:is>
          <x:t xml:space="preserve">Rev1</x:t>
        </x:is>
      </x:c>
      <x:c r="E1" t="inlineStr">
        <x:is>
          <x:t xml:space="preserve">Test</x:t>
        </x:is>
      </x:c>
      <x:c r="F1" t="inlineStr">
        <x:is>
          <x:t xml:space="preserve">Group</x:t>
        </x:is>
      </x:c>
    </x:row>
    <x:row r="2">
      <x:c r="A2" t="inlineStr">
        <x:is>
          <x:t xml:space="preserve">Очень высокий</x:t>
        </x:is>
      </x:c>
      <x:c r="B2" t="inlineStr">
        <x:is>
          <x:t xml:space="preserve">Ядро Rev1</x:t>
        </x:is>
      </x:c>
      <x:c r="C2" t="inlineStr">
        <x:is>
          <x:t xml:space="preserve">Подтверждено</x:t>
        </x:is>
      </x:c>
      <x:c r="D2" t="inlineStr">
        <x:is>
          <x:t xml:space="preserve">Да</x:t>
        </x:is>
      </x:c>
      <x:c r="E2" t="inlineStr">
        <x:is>
          <x:t xml:space="preserve">Не тестировалось</x:t>
        </x:is>
      </x:c>
      <x:c r="F2" t="inlineStr">
        <x:is>
          <x:t xml:space="preserve">Контроллер</x:t>
        </x:is>
      </x:c>
    </x:row>
    <x:row r="3">
      <x:c r="A3" t="inlineStr">
        <x:is>
          <x:t xml:space="preserve">Высокий</x:t>
        </x:is>
      </x:c>
      <x:c r="B3" t="inlineStr">
        <x:is>
          <x:t xml:space="preserve">Laboratory / исследование</x:t>
        </x:is>
      </x:c>
      <x:c r="C3" t="inlineStr">
        <x:is>
          <x:t xml:space="preserve">Нужно уточнить</x:t>
        </x:is>
      </x:c>
      <x:c r="D3" t="inlineStr">
        <x:is>
          <x:t xml:space="preserve">Нет</x:t>
        </x:is>
      </x:c>
      <x:c r="E3" t="inlineStr">
        <x:is>
          <x:t xml:space="preserve">Частично</x:t>
        </x:is>
      </x:c>
      <x:c r="F3" t="inlineStr">
        <x:is>
          <x:t xml:space="preserve">Камера</x:t>
        </x:is>
      </x:c>
    </x:row>
    <x:row r="4">
      <x:c r="A4" t="inlineStr">
        <x:is>
          <x:t xml:space="preserve">Средний</x:t>
        </x:is>
      </x:c>
      <x:c r="B4" t="inlineStr">
        <x:is>
          <x:t xml:space="preserve">Поздний силовой каскад</x:t>
        </x:is>
      </x:c>
      <x:c r="C4" t="inlineStr">
        <x:is>
          <x:t xml:space="preserve">Под вопросом</x:t>
        </x:is>
      </x:c>
      <x:c r="D4" t="inlineStr">
        <x:is>
          <x:t xml:space="preserve">Исследовать</x:t>
        </x:is>
      </x:c>
      <x:c r="E4" t="inlineStr">
        <x:is>
          <x:t xml:space="preserve">ОК</x:t>
        </x:is>
      </x:c>
      <x:c r="F4" t="inlineStr">
        <x:is>
          <x:t xml:space="preserve">Дальномер</x:t>
        </x:is>
      </x:c>
    </x:row>
    <x:row r="5">
      <x:c r="A5" t="inlineStr">
        <x:is>
          <x:t xml:space="preserve">Низкий</x:t>
        </x:is>
      </x:c>
      <x:c r="B5" t="inlineStr">
        <x:is>
          <x:t xml:space="preserve">Инфраструктура</x:t>
        </x:is>
      </x:c>
      <x:c r="C5" t="inlineStr">
        <x:is>
          <x:t xml:space="preserve">Отложено</x:t>
        </x:is>
      </x:c>
      <x:c r="D5" t="inlineStr">
        <x:is>
          <x:t xml:space="preserve">Позже</x:t>
        </x:is>
      </x:c>
      <x:c r="E5" t="inlineStr">
        <x:is>
          <x:t xml:space="preserve">Проблема</x:t>
        </x:is>
      </x:c>
      <x:c r="F5" t="inlineStr">
        <x:is>
          <x:t xml:space="preserve">Датчик</x:t>
        </x:is>
      </x:c>
    </x:row>
    <x:row r="6">
      <x:c r="F6" t="inlineStr">
        <x:is>
          <x:t xml:space="preserve">Интерфейсный модуль</x:t>
        </x:is>
      </x:c>
    </x:row>
    <x:row r="7">
      <x:c r="F7" t="inlineStr">
        <x:is>
          <x:t xml:space="preserve">Привод</x:t>
        </x:is>
      </x:c>
    </x:row>
    <x:row r="8">
      <x:c r="F8" t="inlineStr">
        <x:is>
          <x:t xml:space="preserve">Гидравлика</x:t>
        </x:is>
      </x:c>
    </x:row>
    <x:row r="9">
      <x:c r="F9" t="inlineStr">
        <x:is>
          <x:t xml:space="preserve">Силовой ключ</x:t>
        </x:is>
      </x:c>
    </x:row>
    <x:row r="10">
      <x:c r="F10" t="inlineStr">
        <x:is>
          <x:t xml:space="preserve">Индикация</x:t>
        </x:is>
      </x:c>
    </x:row>
    <x:row r="11">
      <x:c r="F11" t="inlineStr">
        <x:is>
          <x:t xml:space="preserve">Свет</x:t>
        </x:is>
      </x:c>
    </x:row>
    <x:row r="12">
      <x:c r="F12" t="inlineStr">
        <x:is>
          <x:t xml:space="preserve">Акустика</x:t>
        </x:is>
      </x:c>
    </x:row>
    <x:row r="13">
      <x:c r="F13" t="inlineStr">
        <x:is>
          <x:t xml:space="preserve">Аудио</x:t>
        </x:is>
      </x:c>
    </x:row>
    <x:row r="14">
      <x:c r="F14" t="inlineStr">
        <x:is>
          <x:t xml:space="preserve">Сервис / отладка</x:t>
        </x:is>
      </x:c>
    </x:row>
    <x:row r="15">
      <x:c r="F15" t="inlineStr">
        <x:is>
          <x:t xml:space="preserve">Питание / bench</x:t>
        </x:is>
      </x:c>
    </x:row>
    <x:row r="16">
      <x:c r="F16" t="inlineStr">
        <x:is>
          <x:t xml:space="preserve">Питание / автономность</x:t>
        </x:is>
      </x:c>
    </x:row>
    <x:row r="17">
      <x:c r="F17" t="inlineStr">
        <x:is>
          <x:t xml:space="preserve">Питание</x:t>
        </x:is>
      </x:c>
    </x:row>
    <x:row r="18">
      <x:c r="F18" t="inlineStr">
        <x:is>
          <x:t xml:space="preserve">Энергетика</x:t>
        </x:is>
      </x:c>
    </x:row>
    <x:row r="19">
      <x:c r="F19" t="inlineStr">
        <x:is>
          <x:t xml:space="preserve">Дискретка</x:t>
        </x:is>
      </x:c>
    </x:row>
  </x:sheetData>
  <x:pageMargins left="0.7" right="0.7" top="0.75" bottom="0.75" header="0.3" footer="0.3"/>
</x:worksheet>
</file>